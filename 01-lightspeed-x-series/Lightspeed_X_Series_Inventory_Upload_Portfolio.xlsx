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1f8577265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C Dashboard" sheetId="1" r:id="Rab4e75695a934260"/>
    <x:sheet xmlns:r="http://schemas.openxmlformats.org/officeDocument/2006/relationships" name="Clean Upload" sheetId="2" r:id="R5bec6e81e9284e64"/>
    <x:sheet xmlns:r="http://schemas.openxmlformats.org/officeDocument/2006/relationships" name="Raw Inventory" sheetId="3" r:id="R0b55a153b158457c"/>
    <x:sheet xmlns:r="http://schemas.openxmlformats.org/officeDocument/2006/relationships" name="Cleaning Log" sheetId="4" r:id="Rfde99ad9f0364aa6"/>
    <x:sheet xmlns:r="http://schemas.openxmlformats.org/officeDocument/2006/relationships" name="Field Guide" sheetId="5" r:id="R20606ef00c13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.0%"/>
    <x:numFmt numFmtId="202" formatCode="@"/>
    <x:numFmt numFmtId="203" formatCode="$#,##0.00"/>
    <x:numFmt numFmtId="204" formatCode="0.00"/>
  </x:numFmts>
  <x:fonts count="9">
    <x:font>
      <x:sz val="11"/>
      <x:name val="Carlito"/>
    </x:font>
    <x:font>
      <x:b/>
      <x:sz val="16"/>
      <x:color rgb="FF17324D"/>
      <x:name val="Arial"/>
    </x:font>
    <x:font>
      <x:i/>
      <x:sz val="10"/>
      <x:color rgb="FF667085"/>
      <x:name val="Arial"/>
    </x:font>
    <x:font>
      <x:b/>
      <x:sz val="9"/>
      <x:color rgb="FF98A2B3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sz val="10"/>
      <x:color rgb="FF1F2937"/>
      <x:name val="Arial"/>
    </x:font>
    <x:font>
      <x:b/>
      <x:sz val="10"/>
      <x:color rgb="FF2E7D5B"/>
      <x:name val="Arial"/>
    </x:font>
    <x:font>
      <x:sz val="9"/>
      <x:color rgb="FF66708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3"/>
      </x:patternFill>
    </x:fill>
    <x:fill>
      <x:patternFill patternType="solid">
        <x:fgColor rgb="FF1E7A74"/>
      </x:patternFill>
    </x:fill>
    <x:fill>
      <x:patternFill patternType="solid">
        <x:fgColor rgb="FFDCFCE7"/>
      </x:patternFill>
    </x:fill>
    <x:fill>
      <x:patternFill patternType="solid">
        <x:fgColor rgb="FFF4F7FA"/>
      </x:patternFill>
    </x:fill>
    <x:fill>
      <x:patternFill patternType="solid">
        <x:fgColor rgb="FFD6A84B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1E7A74"/>
      </x:bottom>
      <x:diagonal/>
    </x:border>
    <x:border>
      <x:left/>
      <x:right/>
      <x:top/>
      <x:bottom style="medium">
        <x:color rgb="FFFFFFFF"/>
      </x:bottom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6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10" xfId="0" applyNumberFormat="1" applyFont="1" applyFill="1" applyBorder="1"/>
    <x:xf numFmtId="203" fontId="0" fillId="0" borderId="10" xfId="0" applyNumberFormat="1" applyFont="1" applyFill="1" applyBorder="1"/>
    <x:xf numFmtId="204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1328c8a2347a3" /><Relationship Type="http://schemas.openxmlformats.org/officeDocument/2006/relationships/theme" Target="/xl/theme/theme1.xml" Id="R92858b07afdf4d74" /><Relationship Type="http://schemas.openxmlformats.org/officeDocument/2006/relationships/sharedStrings" Target="/xl/sharedStrings.xml" Id="R21adbb58b1bc4cb7" /><Relationship Type="http://schemas.openxmlformats.org/officeDocument/2006/relationships/worksheet" Target="/xl/worksheets/sheet1.xml" Id="Rab4e75695a934260" /><Relationship Type="http://schemas.openxmlformats.org/officeDocument/2006/relationships/worksheet" Target="/xl/worksheets/sheet2.xml" Id="R5bec6e81e9284e64" /><Relationship Type="http://schemas.openxmlformats.org/officeDocument/2006/relationships/worksheet" Target="/xl/worksheets/sheet3.xml" Id="R0b55a153b158457c" /><Relationship Type="http://schemas.openxmlformats.org/officeDocument/2006/relationships/worksheet" Target="/xl/worksheets/sheet4.xml" Id="Rfde99ad9f0364aa6" /><Relationship Type="http://schemas.openxmlformats.org/officeDocument/2006/relationships/worksheet" Target="/xl/worksheets/sheet5.xml" Id="R20606ef00c1349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f8caf4555441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Upload-ready products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Products</c:v>
          </c:tx>
          <c:invertIfNegative val="0"/>
          <c:cat>
            <c:strRef>
              <c:f>'QC Dashboard'!$A$20:$A$24</c:f>
              <c:strCache>
                <c:ptCount val="0"/>
              </c:strCache>
            </c:strRef>
          </c:cat>
          <c:val>
            <c:numRef>
              <c:f>'QC Dashboard'!$B$20:$B$24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f8caf4555441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67d20bf4fe481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A2" s="1" t="str">
        <x:v>Lightspeed Retail X-Series Upload Readiness</x:v>
      </x:c>
      <x:c r="G2" s="4" t="str">
        <x:v>PORTFOLIO DEMO • SYED AREEB ALI</x:v>
      </x:c>
    </x:row>
    <x:row r="3">
      <x:c r="A3" s="2" t="str">
        <x:v>Inventory cleanup, validation and import preparation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Source rows</x:v>
      </x:c>
      <x:c r="B6" s="10" t="str">
        <x:v>Upload-ready</x:v>
      </x:c>
      <x:c r="C6" s="10" t="str">
        <x:v>Rows changed</x:v>
      </x:c>
      <x:c r="D6" s="10" t="str">
        <x:v>Duplicate SKUs fixed</x:v>
      </x:c>
      <x:c r="E6" s="10" t="str">
        <x:v>Inventory units</x:v>
      </x:c>
      <x:c r="F6" s="10" t="str">
        <x:v>Retail value</x:v>
      </x:c>
      <x:c r="G6" s="10" t="str">
        <x:v>Average margin</x:v>
      </x:c>
    </x:row>
    <x:row r="7" ht="36" customHeight="1">
      <x:c r="A7" s="14" t="n">
        <x:f>COUNTA('Raw Inventory'!A7:A36)</x:f>
        <x:v>30</x:v>
      </x:c>
      <x:c r="B7" s="14" t="n">
        <x:f>COUNTA('Clean Upload'!C7:C36)</x:f>
        <x:v>30</x:v>
      </x:c>
      <x:c r="C7" s="14" t="n">
        <x:f>COUNTIF('Cleaning Log'!F7:F36,"&gt;0")</x:f>
        <x:v>30</x:v>
      </x:c>
      <x:c r="D7" s="14" t="n">
        <x:v>1</x:v>
      </x:c>
      <x:c r="E7" s="14" t="n">
        <x:f>SUM('Clean Upload'!AF7:AF36)</x:f>
        <x:v>815</x:v>
      </x:c>
      <x:c r="F7" s="15" t="n">
        <x:f>SUMPRODUCT('Clean Upload'!AF7:AF36,'Clean Upload'!I7:I36)</x:f>
        <x:v>56716.87000000001</x:v>
      </x:c>
      <x:c r="G7" s="16" t="n">
        <x:f>AVERAGE(('Clean Upload'!I7:I36-'Clean Upload'!H7:H36)/'Clean Upload'!I7:I36)</x:f>
        <x:v>0.5484491358155813</x:v>
      </x:c>
    </x:row>
    <x:row r="10" ht="30" customHeight="1">
      <x:c r="A10" s="22" t="str">
        <x:v>Validation control</x:v>
      </x:c>
      <x:c r="B10" s="22" t="str">
        <x:v>Result</x:v>
      </x:c>
      <x:c r="C10" s="22" t="str">
        <x:v>Rule</x:v>
      </x:c>
      <x:c r="D10" s="22" t="str">
        <x:v>Action</x:v>
      </x:c>
    </x:row>
    <x:row r="11">
      <x:c r="A11" s="24" t="str">
        <x:v>Unique SKUs</x:v>
      </x:c>
      <x:c r="B11" s="27" t="str">
        <x:v>PASS</x:v>
      </x:c>
      <x:c r="C11" s="24" t="str">
        <x:v>No duplicate values</x:v>
      </x:c>
      <x:c r="D11" s="24" t="str">
        <x:v>None</x:v>
      </x:c>
    </x:row>
    <x:row r="12">
      <x:c r="A12" s="24" t="str">
        <x:v>Valid SKU characters</x:v>
      </x:c>
      <x:c r="B12" s="27" t="str">
        <x:v>PASS</x:v>
      </x:c>
      <x:c r="C12" s="24" t="str">
        <x:v>Letters and numbers only</x:v>
      </x:c>
      <x:c r="D12" s="24" t="str">
        <x:v>None</x:v>
      </x:c>
    </x:row>
    <x:row r="13">
      <x:c r="A13" s="24" t="str">
        <x:v>Retail price</x:v>
      </x:c>
      <x:c r="B13" s="27" t="str">
        <x:v>PASS</x:v>
      </x:c>
      <x:c r="C13" s="24" t="str">
        <x:v>Retail price exceeds supply price</x:v>
      </x:c>
      <x:c r="D13" s="24" t="str">
        <x:v>None</x:v>
      </x:c>
    </x:row>
    <x:row r="14">
      <x:c r="A14" s="24" t="str">
        <x:v>Inventory</x:v>
      </x:c>
      <x:c r="B14" s="27" t="str">
        <x:v>PASS</x:v>
      </x:c>
      <x:c r="C14" s="24" t="str">
        <x:v>No negative quantities</x:v>
      </x:c>
      <x:c r="D14" s="24" t="str">
        <x:v>None</x:v>
      </x:c>
    </x:row>
    <x:row r="15">
      <x:c r="A15" s="24" t="str">
        <x:v>Required product fields</x:v>
      </x:c>
      <x:c r="B15" s="27" t="str">
        <x:v>PASS</x:v>
      </x:c>
      <x:c r="C15" s="24" t="str">
        <x:v>Name, SKU and prices populated</x:v>
      </x:c>
      <x:c r="D15" s="24" t="str">
        <x:v>None</x:v>
      </x:c>
    </x:row>
    <x:row r="16">
      <x:c r="A16" s="24" t="str">
        <x:v>Outlet tax mapping</x:v>
      </x:c>
      <x:c r="B16" s="27" t="str">
        <x:v>PASS</x:v>
      </x:c>
      <x:c r="C16" s="24" t="str">
        <x:v>Exact demo tax name applied</x:v>
      </x:c>
      <x:c r="D16" s="24" t="str">
        <x:v>Confirm store tax name before live import</x:v>
      </x:c>
    </x:row>
    <x:row r="19" ht="30" customHeight="1">
      <x:c r="A19" s="10" t="str">
        <x:v>Category</x:v>
      </x:c>
      <x:c r="B19" s="10" t="str">
        <x:v>Products</x:v>
      </x:c>
    </x:row>
    <x:row r="20">
      <x:c r="A20" t="str">
        <x:v>Home / Dining</x:v>
      </x:c>
      <x:c r="B20" t="n">
        <x:f>COUNTIF('Clean Upload'!F$7:F$36,A20)</x:f>
        <x:v>6</x:v>
      </x:c>
    </x:row>
    <x:row r="21">
      <x:c r="A21" t="str">
        <x:v>Home / Decor</x:v>
      </x:c>
      <x:c r="B21" t="n">
        <x:f>COUNTIF('Clean Upload'!F$7:F$36,A21)</x:f>
        <x:v>6</x:v>
      </x:c>
    </x:row>
    <x:row r="22">
      <x:c r="A22" t="str">
        <x:v>Home / Bath</x:v>
      </x:c>
      <x:c r="B22" t="n">
        <x:f>COUNTIF('Clean Upload'!F$7:F$36,A22)</x:f>
        <x:v>6</x:v>
      </x:c>
    </x:row>
    <x:row r="23">
      <x:c r="A23" t="str">
        <x:v>Lifestyle / Travel</x:v>
      </x:c>
      <x:c r="B23" t="n">
        <x:f>COUNTIF('Clean Upload'!F$7:F$36,A23)</x:f>
        <x:v>6</x:v>
      </x:c>
    </x:row>
    <x:row r="24">
      <x:c r="A24" t="str">
        <x:v>Office</x:v>
      </x:c>
      <x:c r="B24" t="n">
        <x:f>COUNTIF('Clean Upload'!F$7:F$36,A24)</x:f>
        <x:v>6</x:v>
      </x:c>
    </x:row>
    <x:row r="36" ht="34" customHeight="1">
      <x:c r="A36" s="31" t="str">
        <x:v>Method note</x:v>
      </x:c>
      <x:c r="B36" s="31" t="str">
        <x:v>Source values were standardized, invalid pricing and stock were repaired, duplicate identifiers were resolved, and the final sheet follows Lightspeed X-Series product import conventions.</x:v>
      </x:c>
      <x:c r="C36" s="31"/>
      <x:c r="D36" s="31"/>
      <x:c r="E36" s="31"/>
      <x:c r="F36" s="31"/>
      <x:c r="G36" s="31"/>
    </x:row>
  </x:sheetData>
  <x:mergeCells>
    <x:mergeCell ref="B36:G36"/>
  </x:mergeCells>
  <x:pageMargins left="0.7" right="0.7" top="0.75" bottom="0.75" header="0.3" footer="0.3"/>
  <x:drawing xmlns:r="http://schemas.openxmlformats.org/officeDocument/2006/relationships" r:id="Rf267d20bf4fe4814"/>
</x:worksheet>
</file>

<file path=xl/worksheets/sheet2.xml><?xml version="1.0" encoding="utf-8"?>
<x:worksheet xmlns:x="http://schemas.openxmlformats.org/spreadsheetml/2006/main">
  <x:sheetPr>
    <x:tabColor rgb="FF1E7A74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3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</x:cols>
  <x:sheetData>
    <x:row r="2">
      <x:c r="A2" s="1" t="str">
        <x:v>Clean Upload File</x:v>
      </x:c>
      <x:c r="J2" s="4" t="str">
        <x:v>PORTFOLIO DEMO • SYED AREEB ALI</x:v>
      </x:c>
    </x:row>
    <x:row r="3">
      <x:c r="A3" s="2" t="str">
        <x:v>Validated data aligned to Retail POS X-Series product fields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38" t="str">
        <x:v>id</x:v>
      </x:c>
      <x:c r="B6" s="39" t="str">
        <x:v>handle</x:v>
      </x:c>
      <x:c r="C6" s="39" t="str">
        <x:v>sku</x:v>
      </x:c>
      <x:c r="D6" s="39" t="str">
        <x:v>name</x:v>
      </x:c>
      <x:c r="E6" s="39" t="str">
        <x:v>description</x:v>
      </x:c>
      <x:c r="F6" s="39" t="str">
        <x:v>product_category</x:v>
      </x:c>
      <x:c r="G6" s="39" t="str">
        <x:v>tags</x:v>
      </x:c>
      <x:c r="H6" s="39" t="str">
        <x:v>supply_price</x:v>
      </x:c>
      <x:c r="I6" s="39" t="str">
        <x:v>retail_price</x:v>
      </x:c>
      <x:c r="J6" s="39" t="str">
        <x:v>loyalty_value</x:v>
      </x:c>
      <x:c r="K6" s="39" t="str">
        <x:v>Outlet_Tax_Main_Store</x:v>
      </x:c>
      <x:c r="L6" s="39" t="str">
        <x:v>brand_name</x:v>
      </x:c>
      <x:c r="M6" s="39" t="str">
        <x:v>supplier_name</x:v>
      </x:c>
      <x:c r="N6" s="39" t="str">
        <x:v>supplier_code</x:v>
      </x:c>
      <x:c r="O6" s="39" t="str">
        <x:v>active</x:v>
      </x:c>
      <x:c r="P6" s="39" t="str">
        <x:v>variant_option_one_name</x:v>
      </x:c>
      <x:c r="Q6" s="39" t="str">
        <x:v>variant_option_one_value</x:v>
      </x:c>
      <x:c r="R6" s="39" t="str">
        <x:v>variant_option_two_name</x:v>
      </x:c>
      <x:c r="S6" s="39" t="str">
        <x:v>variant_option_two_value</x:v>
      </x:c>
      <x:c r="T6" s="39" t="str">
        <x:v>variant_option_three_name</x:v>
      </x:c>
      <x:c r="U6" s="39" t="str">
        <x:v>variant_option_three_value</x:v>
      </x:c>
      <x:c r="V6" s="39" t="str">
        <x:v>active_online</x:v>
      </x:c>
      <x:c r="W6" s="39" t="str">
        <x:v>weight</x:v>
      </x:c>
      <x:c r="X6" s="39" t="str">
        <x:v>weight_unit</x:v>
      </x:c>
      <x:c r="Y6" s="39" t="str">
        <x:v>height</x:v>
      </x:c>
      <x:c r="Z6" s="39" t="str">
        <x:v>width</x:v>
      </x:c>
      <x:c r="AA6" s="39" t="str">
        <x:v>length</x:v>
      </x:c>
      <x:c r="AB6" s="39" t="str">
        <x:v>dimension_unit</x:v>
      </x:c>
      <x:c r="AC6" s="39" t="str">
        <x:v>account_code</x:v>
      </x:c>
      <x:c r="AD6" s="39" t="str">
        <x:v>account_code_purchase</x:v>
      </x:c>
      <x:c r="AE6" s="39" t="str">
        <x:v>track_inventory</x:v>
      </x:c>
      <x:c r="AF6" s="39" t="str">
        <x:v>inventory_Main_Store</x:v>
      </x:c>
      <x:c r="AG6" s="39" t="str">
        <x:v>reorder_point_Main_Store</x:v>
      </x:c>
      <x:c r="AH6" s="39" t="str">
        <x:v>reorder_quantity_Main_Store</x:v>
      </x:c>
      <x:c r="AI6" s="39" t="str">
        <x:v>min_quantity_Main_Store</x:v>
      </x:c>
      <x:c r="AJ6" s="39" t="str">
        <x:v>max_quantity_Main_Store</x:v>
      </x:c>
      <x:c r="AK6" s="39" t="str">
        <x:v>composite_name</x:v>
      </x:c>
      <x:c r="AL6" s="39" t="str">
        <x:v>composite_sku</x:v>
      </x:c>
      <x:c r="AM6" s="40" t="str">
        <x:v>composite_quantity</x:v>
      </x:c>
    </x:row>
    <x:row r="7">
      <x:c r="A7" s="41" t="str"/>
      <x:c r="B7" s="42" t="str">
        <x:v>canvas-market-tote</x:v>
      </x:c>
      <x:c r="C7" s="43" t="str">
        <x:v>HP0001</x:v>
      </x:c>
      <x:c r="D7" s="42" t="str">
        <x:v>CANVAS MARKET TOTE</x:v>
      </x:c>
      <x:c r="E7" s="42" t="str">
        <x:v>CANVAS MARKET TOTE made for practical, modern spaces.</x:v>
      </x:c>
      <x:c r="F7" s="42" t="str">
        <x:v>Home / Dining</x:v>
      </x:c>
      <x:c r="G7" s="42" t="str">
        <x:v>new,home,featured</x:v>
      </x:c>
      <x:c r="H7" s="44" t="n">
        <x:v>10.4</x:v>
      </x:c>
      <x:c r="I7" s="44" t="n">
        <x:v>23.4</x:v>
      </x:c>
      <x:c r="J7" s="42" t="str"/>
      <x:c r="K7" s="42" t="str">
        <x:v>Standard Tax</x:v>
      </x:c>
      <x:c r="L7" s="42" t="str">
        <x:v>North &amp; Pine</x:v>
      </x:c>
      <x:c r="M7" s="42" t="str">
        <x:v>Evergreen Wholesale</x:v>
      </x:c>
      <x:c r="N7" s="42" t="str">
        <x:v>SUP-4100</x:v>
      </x:c>
      <x:c r="O7" s="42" t="n">
        <x:v>0</x:v>
      </x:c>
      <x:c r="P7" s="42" t="str"/>
      <x:c r="Q7" s="42" t="str"/>
      <x:c r="R7" s="42" t="str"/>
      <x:c r="S7" s="42" t="str"/>
      <x:c r="T7" s="42" t="str"/>
      <x:c r="U7" s="42" t="str"/>
      <x:c r="V7" s="42" t="n">
        <x:v>0</x:v>
      </x:c>
      <x:c r="W7" s="45" t="n">
        <x:v>0.7</x:v>
      </x:c>
      <x:c r="X7" s="42" t="str">
        <x:v>kg</x:v>
      </x:c>
      <x:c r="Y7" s="42" t="str"/>
      <x:c r="Z7" s="42" t="str"/>
      <x:c r="AA7" s="42" t="str"/>
      <x:c r="AB7" s="42" t="str">
        <x:v>cm</x:v>
      </x:c>
      <x:c r="AC7" s="42" t="str">
        <x:v>200</x:v>
      </x:c>
      <x:c r="AD7" s="42" t="str">
        <x:v>500</x:v>
      </x:c>
      <x:c r="AE7" s="42" t="n">
        <x:v>1</x:v>
      </x:c>
      <x:c r="AF7" s="42" t="n">
        <x:v>0</x:v>
      </x:c>
      <x:c r="AG7" s="42" t="n">
        <x:v>6</x:v>
      </x:c>
      <x:c r="AH7" s="42" t="n">
        <x:v>12</x:v>
      </x:c>
      <x:c r="AI7" s="42" t="str"/>
      <x:c r="AJ7" s="42" t="str"/>
      <x:c r="AK7" s="42" t="str"/>
      <x:c r="AL7" s="42" t="str"/>
      <x:c r="AM7" s="46" t="str"/>
    </x:row>
    <x:row r="8">
      <x:c r="A8" s="41" t="str"/>
      <x:c r="B8" s="42" t="str">
        <x:v>stoneware-mug</x:v>
      </x:c>
      <x:c r="C8" s="43" t="str">
        <x:v>HP0002</x:v>
      </x:c>
      <x:c r="D8" s="42" t="str">
        <x:v>Stoneware Mug</x:v>
      </x:c>
      <x:c r="E8" s="42" t="str">
        <x:v>Stoneware Mug for modern everyday spaces.</x:v>
      </x:c>
      <x:c r="F8" s="42" t="str">
        <x:v>Home / Decor</x:v>
      </x:c>
      <x:c r="G8" s="42" t="str">
        <x:v>home,retail</x:v>
      </x:c>
      <x:c r="H8" s="44" t="n">
        <x:v>9.15</x:v>
      </x:c>
      <x:c r="I8" s="44" t="n">
        <x:v>25.1</x:v>
      </x:c>
      <x:c r="J8" s="42" t="str"/>
      <x:c r="K8" s="42" t="str">
        <x:v>Standard Tax</x:v>
      </x:c>
      <x:c r="L8" s="42" t="str">
        <x:v>Studio Vale</x:v>
      </x:c>
      <x:c r="M8" s="42" t="str">
        <x:v>Mosaic Supply Co</x:v>
      </x:c>
      <x:c r="N8" s="42" t="str">
        <x:v>SUP-4101</x:v>
      </x:c>
      <x:c r="O8" s="42" t="n">
        <x:v>1</x:v>
      </x:c>
      <x:c r="P8" s="42" t="str"/>
      <x:c r="Q8" s="42" t="str"/>
      <x:c r="R8" s="42" t="str"/>
      <x:c r="S8" s="42" t="str"/>
      <x:c r="T8" s="42" t="str"/>
      <x:c r="U8" s="42" t="str"/>
      <x:c r="V8" s="42" t="n">
        <x:v>1</x:v>
      </x:c>
      <x:c r="W8" s="45" t="n">
        <x:v>0.9</x:v>
      </x:c>
      <x:c r="X8" s="42" t="str">
        <x:v>kg</x:v>
      </x:c>
      <x:c r="Y8" s="42" t="str"/>
      <x:c r="Z8" s="42" t="str"/>
      <x:c r="AA8" s="42" t="str"/>
      <x:c r="AB8" s="42" t="str">
        <x:v>cm</x:v>
      </x:c>
      <x:c r="AC8" s="42" t="str">
        <x:v>200</x:v>
      </x:c>
      <x:c r="AD8" s="42" t="str">
        <x:v>500</x:v>
      </x:c>
      <x:c r="AE8" s="42" t="n">
        <x:v>1</x:v>
      </x:c>
      <x:c r="AF8" s="42" t="n">
        <x:v>15</x:v>
      </x:c>
      <x:c r="AG8" s="42" t="n">
        <x:v>7</x:v>
      </x:c>
      <x:c r="AH8" s="42" t="n">
        <x:v>13</x:v>
      </x:c>
      <x:c r="AI8" s="42" t="str"/>
      <x:c r="AJ8" s="42" t="str"/>
      <x:c r="AK8" s="42" t="str"/>
      <x:c r="AL8" s="42" t="str"/>
      <x:c r="AM8" s="46" t="str"/>
    </x:row>
    <x:row r="9">
      <x:c r="A9" s="41" t="str"/>
      <x:c r="B9" s="42" t="str">
        <x:v>linen-table-runner</x:v>
      </x:c>
      <x:c r="C9" s="43" t="str">
        <x:v>HP0003</x:v>
      </x:c>
      <x:c r="D9" s="42" t="str">
        <x:v>Linen Table Runner</x:v>
      </x:c>
      <x:c r="E9" s="42" t="str">
        <x:v>Linen Table Runner for modern everyday spaces.</x:v>
      </x:c>
      <x:c r="F9" s="42" t="str">
        <x:v>Home / Bath</x:v>
      </x:c>
      <x:c r="G9" s="42" t="str">
        <x:v>home,retail</x:v>
      </x:c>
      <x:c r="H9" s="44" t="n">
        <x:v>10.8</x:v>
      </x:c>
      <x:c r="I9" s="44" t="n">
        <x:v>28.2</x:v>
      </x:c>
      <x:c r="J9" s="42" t="str"/>
      <x:c r="K9" s="42" t="str">
        <x:v>Standard Tax</x:v>
      </x:c>
      <x:c r="L9" s="42" t="str">
        <x:v>Common Form</x:v>
      </x:c>
      <x:c r="M9" s="42" t="str">
        <x:v>Fieldwork Goods</x:v>
      </x:c>
      <x:c r="N9" s="42" t="str">
        <x:v>SUP-4102</x:v>
      </x:c>
      <x:c r="O9" s="42" t="n">
        <x:v>1</x:v>
      </x:c>
      <x:c r="P9" s="42" t="str"/>
      <x:c r="Q9" s="42" t="str"/>
      <x:c r="R9" s="42" t="str"/>
      <x:c r="S9" s="42" t="str"/>
      <x:c r="T9" s="42" t="str"/>
      <x:c r="U9" s="42" t="str"/>
      <x:c r="V9" s="42" t="n">
        <x:v>1</x:v>
      </x:c>
      <x:c r="W9" s="45" t="n">
        <x:v>1.1</x:v>
      </x:c>
      <x:c r="X9" s="42" t="str">
        <x:v>kg</x:v>
      </x:c>
      <x:c r="Y9" s="42" t="str"/>
      <x:c r="Z9" s="42" t="str"/>
      <x:c r="AA9" s="42" t="str"/>
      <x:c r="AB9" s="42" t="str">
        <x:v>cm</x:v>
      </x:c>
      <x:c r="AC9" s="42" t="str">
        <x:v>200</x:v>
      </x:c>
      <x:c r="AD9" s="42" t="str">
        <x:v>500</x:v>
      </x:c>
      <x:c r="AE9" s="42" t="n">
        <x:v>1</x:v>
      </x:c>
      <x:c r="AF9" s="42" t="n">
        <x:v>22</x:v>
      </x:c>
      <x:c r="AG9" s="42" t="n">
        <x:v>8</x:v>
      </x:c>
      <x:c r="AH9" s="42" t="n">
        <x:v>14</x:v>
      </x:c>
      <x:c r="AI9" s="42" t="str"/>
      <x:c r="AJ9" s="42" t="str"/>
      <x:c r="AK9" s="42" t="str"/>
      <x:c r="AL9" s="42" t="str"/>
      <x:c r="AM9" s="46" t="str"/>
    </x:row>
    <x:row r="10">
      <x:c r="A10" s="41" t="str"/>
      <x:c r="B10" s="42" t="str">
        <x:v>oak-serving-board</x:v>
      </x:c>
      <x:c r="C10" s="43" t="str">
        <x:v>HP0004</x:v>
      </x:c>
      <x:c r="D10" s="42" t="str">
        <x:v>Oak Serving Board</x:v>
      </x:c>
      <x:c r="E10" s="42" t="str">
        <x:v>Oak Serving Board for modern everyday spaces.</x:v>
      </x:c>
      <x:c r="F10" s="42" t="str">
        <x:v>Lifestyle / Travel</x:v>
      </x:c>
      <x:c r="G10" s="42" t="str">
        <x:v>home,retail</x:v>
      </x:c>
      <x:c r="H10" s="44" t="n">
        <x:v>12.45</x:v>
      </x:c>
      <x:c r="I10" s="44" t="n">
        <x:v>31.3</x:v>
      </x:c>
      <x:c r="J10" s="42" t="str"/>
      <x:c r="K10" s="42" t="str">
        <x:v>Standard Tax</x:v>
      </x:c>
      <x:c r="L10" s="42" t="str">
        <x:v>Hearthline</x:v>
      </x:c>
      <x:c r="M10" s="42" t="str">
        <x:v>Evergreen Wholesale</x:v>
      </x:c>
      <x:c r="N10" s="42" t="str">
        <x:v>SUP-4103</x:v>
      </x:c>
      <x:c r="O10" s="42" t="n">
        <x:v>1</x:v>
      </x:c>
      <x:c r="P10" s="42" t="str"/>
      <x:c r="Q10" s="42" t="str"/>
      <x:c r="R10" s="42" t="str"/>
      <x:c r="S10" s="42" t="str"/>
      <x:c r="T10" s="42" t="str"/>
      <x:c r="U10" s="42" t="str"/>
      <x:c r="V10" s="42" t="n">
        <x:v>1</x:v>
      </x:c>
      <x:c r="W10" s="45" t="n">
        <x:v>0.3</x:v>
      </x:c>
      <x:c r="X10" s="42" t="str">
        <x:v>kg</x:v>
      </x:c>
      <x:c r="Y10" s="42" t="str"/>
      <x:c r="Z10" s="42" t="str"/>
      <x:c r="AA10" s="42" t="str"/>
      <x:c r="AB10" s="42" t="str">
        <x:v>cm</x:v>
      </x:c>
      <x:c r="AC10" s="42" t="str">
        <x:v>200</x:v>
      </x:c>
      <x:c r="AD10" s="42" t="str">
        <x:v>500</x:v>
      </x:c>
      <x:c r="AE10" s="42" t="n">
        <x:v>1</x:v>
      </x:c>
      <x:c r="AF10" s="42" t="n">
        <x:v>29</x:v>
      </x:c>
      <x:c r="AG10" s="42" t="n">
        <x:v>9</x:v>
      </x:c>
      <x:c r="AH10" s="42" t="n">
        <x:v>15</x:v>
      </x:c>
      <x:c r="AI10" s="42" t="str"/>
      <x:c r="AJ10" s="42" t="str"/>
      <x:c r="AK10" s="42" t="str"/>
      <x:c r="AL10" s="42" t="str"/>
      <x:c r="AM10" s="46" t="str"/>
    </x:row>
    <x:row r="11">
      <x:c r="A11" s="41" t="str"/>
      <x:c r="B11" s="42" t="str">
        <x:v>scented-soy-candle</x:v>
      </x:c>
      <x:c r="C11" s="43" t="str">
        <x:v>HP0005</x:v>
      </x:c>
      <x:c r="D11" s="42" t="str">
        <x:v>Scented Soy Candle</x:v>
      </x:c>
      <x:c r="E11" s="42" t="str">
        <x:v>Scented Soy Candle for modern everyday spaces.</x:v>
      </x:c>
      <x:c r="F11" s="42" t="str">
        <x:v>Office</x:v>
      </x:c>
      <x:c r="G11" s="42" t="str">
        <x:v>home,retail</x:v>
      </x:c>
      <x:c r="H11" s="44" t="n">
        <x:v>14.1</x:v>
      </x:c>
      <x:c r="I11" s="44" t="n">
        <x:v>34.4</x:v>
      </x:c>
      <x:c r="J11" s="42" t="str"/>
      <x:c r="K11" s="42" t="str">
        <x:v>Standard Tax</x:v>
      </x:c>
      <x:c r="L11" s="42" t="str">
        <x:v>North &amp; Pine</x:v>
      </x:c>
      <x:c r="M11" s="42" t="str">
        <x:v>Mosaic Supply Co</x:v>
      </x:c>
      <x:c r="N11" s="42" t="str">
        <x:v>SUP-4104</x:v>
      </x:c>
      <x:c r="O11" s="42" t="n">
        <x:v>1</x:v>
      </x:c>
      <x:c r="P11" s="42" t="str"/>
      <x:c r="Q11" s="42" t="str"/>
      <x:c r="R11" s="42" t="str"/>
      <x:c r="S11" s="42" t="str"/>
      <x:c r="T11" s="42" t="str"/>
      <x:c r="U11" s="42" t="str"/>
      <x:c r="V11" s="42" t="n">
        <x:v>1</x:v>
      </x:c>
      <x:c r="W11" s="45" t="n">
        <x:v>0.5</x:v>
      </x:c>
      <x:c r="X11" s="42" t="str">
        <x:v>kg</x:v>
      </x:c>
      <x:c r="Y11" s="42" t="str"/>
      <x:c r="Z11" s="42" t="str"/>
      <x:c r="AA11" s="42" t="str"/>
      <x:c r="AB11" s="42" t="str">
        <x:v>cm</x:v>
      </x:c>
      <x:c r="AC11" s="42" t="str">
        <x:v>200</x:v>
      </x:c>
      <x:c r="AD11" s="42" t="str">
        <x:v>500</x:v>
      </x:c>
      <x:c r="AE11" s="42" t="n">
        <x:v>1</x:v>
      </x:c>
      <x:c r="AF11" s="42" t="n">
        <x:v>36</x:v>
      </x:c>
      <x:c r="AG11" s="42" t="n">
        <x:v>10</x:v>
      </x:c>
      <x:c r="AH11" s="42" t="n">
        <x:v>16</x:v>
      </x:c>
      <x:c r="AI11" s="42" t="str"/>
      <x:c r="AJ11" s="42" t="str"/>
      <x:c r="AK11" s="42" t="str"/>
      <x:c r="AL11" s="42" t="str"/>
      <x:c r="AM11" s="46" t="str"/>
    </x:row>
    <x:row r="12">
      <x:c r="A12" s="41" t="str"/>
      <x:c r="B12" s="42" t="str">
        <x:v>woven-storage-basket</x:v>
      </x:c>
      <x:c r="C12" s="43" t="str">
        <x:v>HP0006</x:v>
      </x:c>
      <x:c r="D12" s="42" t="str">
        <x:v>Woven Storage Basket</x:v>
      </x:c>
      <x:c r="E12" s="42" t="str">
        <x:v>Woven Storage Basket for modern everyday spaces.</x:v>
      </x:c>
      <x:c r="F12" s="42" t="str">
        <x:v>Home / Dining</x:v>
      </x:c>
      <x:c r="G12" s="42" t="str">
        <x:v>new,home,featured</x:v>
      </x:c>
      <x:c r="H12" s="44" t="n">
        <x:v>15.75</x:v>
      </x:c>
      <x:c r="I12" s="44" t="n">
        <x:v>37.5</x:v>
      </x:c>
      <x:c r="J12" s="42" t="str"/>
      <x:c r="K12" s="42" t="str">
        <x:v>Standard Tax</x:v>
      </x:c>
      <x:c r="L12" s="42" t="str">
        <x:v>Studio Vale</x:v>
      </x:c>
      <x:c r="M12" s="42" t="str">
        <x:v>Fieldwork Goods</x:v>
      </x:c>
      <x:c r="N12" s="42" t="str">
        <x:v>SUP-4105</x:v>
      </x:c>
      <x:c r="O12" s="42" t="n">
        <x:v>1</x:v>
      </x:c>
      <x:c r="P12" s="42" t="str"/>
      <x:c r="Q12" s="42" t="str"/>
      <x:c r="R12" s="42" t="str"/>
      <x:c r="S12" s="42" t="str"/>
      <x:c r="T12" s="42" t="str"/>
      <x:c r="U12" s="42" t="str"/>
      <x:c r="V12" s="42" t="n">
        <x:v>1</x:v>
      </x:c>
      <x:c r="W12" s="45" t="n">
        <x:v>0.7</x:v>
      </x:c>
      <x:c r="X12" s="42" t="str">
        <x:v>kg</x:v>
      </x:c>
      <x:c r="Y12" s="42" t="str"/>
      <x:c r="Z12" s="42" t="str"/>
      <x:c r="AA12" s="42" t="str"/>
      <x:c r="AB12" s="42" t="str">
        <x:v>cm</x:v>
      </x:c>
      <x:c r="AC12" s="42" t="str">
        <x:v>200</x:v>
      </x:c>
      <x:c r="AD12" s="42" t="str">
        <x:v>500</x:v>
      </x:c>
      <x:c r="AE12" s="42" t="n">
        <x:v>1</x:v>
      </x:c>
      <x:c r="AF12" s="42" t="n">
        <x:v>43</x:v>
      </x:c>
      <x:c r="AG12" s="42" t="n">
        <x:v>6</x:v>
      </x:c>
      <x:c r="AH12" s="42" t="n">
        <x:v>17</x:v>
      </x:c>
      <x:c r="AI12" s="42" t="str"/>
      <x:c r="AJ12" s="42" t="str"/>
      <x:c r="AK12" s="42" t="str"/>
      <x:c r="AL12" s="42" t="str"/>
      <x:c r="AM12" s="46" t="str"/>
    </x:row>
    <x:row r="13">
      <x:c r="A13" s="41" t="str"/>
      <x:c r="B13" s="42" t="str">
        <x:v>ceramic-planter</x:v>
      </x:c>
      <x:c r="C13" s="43" t="str">
        <x:v>HP0007</x:v>
      </x:c>
      <x:c r="D13" s="42" t="str">
        <x:v>Ceramic Planter</x:v>
      </x:c>
      <x:c r="E13" s="42" t="str">
        <x:v>Ceramic Planter made for practical, modern spaces.</x:v>
      </x:c>
      <x:c r="F13" s="42" t="str">
        <x:v>Home / Decor</x:v>
      </x:c>
      <x:c r="G13" s="42" t="str">
        <x:v>home,retail</x:v>
      </x:c>
      <x:c r="H13" s="44" t="n">
        <x:v>17.4</x:v>
      </x:c>
      <x:c r="I13" s="44" t="n">
        <x:v>40.6</x:v>
      </x:c>
      <x:c r="J13" s="42" t="str"/>
      <x:c r="K13" s="42" t="str">
        <x:v>Standard Tax</x:v>
      </x:c>
      <x:c r="L13" s="42" t="str">
        <x:v>Common Form</x:v>
      </x:c>
      <x:c r="M13" s="42" t="str">
        <x:v>Evergreen Wholesale</x:v>
      </x:c>
      <x:c r="N13" s="42" t="str">
        <x:v>SUP-4106</x:v>
      </x:c>
      <x:c r="O13" s="42" t="n">
        <x:v>1</x:v>
      </x:c>
      <x:c r="P13" s="42" t="str"/>
      <x:c r="Q13" s="42" t="str"/>
      <x:c r="R13" s="42" t="str"/>
      <x:c r="S13" s="42" t="str"/>
      <x:c r="T13" s="42" t="str"/>
      <x:c r="U13" s="42" t="str"/>
      <x:c r="V13" s="42" t="n">
        <x:v>1</x:v>
      </x:c>
      <x:c r="W13" s="45" t="n">
        <x:v>0.9</x:v>
      </x:c>
      <x:c r="X13" s="42" t="str">
        <x:v>kg</x:v>
      </x:c>
      <x:c r="Y13" s="42" t="str"/>
      <x:c r="Z13" s="42" t="str"/>
      <x:c r="AA13" s="42" t="str"/>
      <x:c r="AB13" s="42" t="str">
        <x:v>cm</x:v>
      </x:c>
      <x:c r="AC13" s="42" t="str">
        <x:v>200</x:v>
      </x:c>
      <x:c r="AD13" s="42" t="str">
        <x:v>500</x:v>
      </x:c>
      <x:c r="AE13" s="42" t="n">
        <x:v>1</x:v>
      </x:c>
      <x:c r="AF13" s="42" t="n">
        <x:v>50</x:v>
      </x:c>
      <x:c r="AG13" s="42" t="n">
        <x:v>7</x:v>
      </x:c>
      <x:c r="AH13" s="42" t="n">
        <x:v>18</x:v>
      </x:c>
      <x:c r="AI13" s="42" t="str"/>
      <x:c r="AJ13" s="42" t="str"/>
      <x:c r="AK13" s="42" t="str"/>
      <x:c r="AL13" s="42" t="str"/>
      <x:c r="AM13" s="46" t="str"/>
    </x:row>
    <x:row r="14">
      <x:c r="A14" s="41" t="str"/>
      <x:c r="B14" s="42" t="str">
        <x:v>cotton-throw-blanket</x:v>
      </x:c>
      <x:c r="C14" s="43" t="str">
        <x:v>HP0008</x:v>
      </x:c>
      <x:c r="D14" s="42" t="str">
        <x:v>COTTON THROW BLANKET</x:v>
      </x:c>
      <x:c r="E14" s="42" t="str">
        <x:v>Cotton Throw Blanket for modern everyday spaces.</x:v>
      </x:c>
      <x:c r="F14" s="42" t="str">
        <x:v>Home / Bath</x:v>
      </x:c>
      <x:c r="G14" s="42" t="str">
        <x:v>home,retail</x:v>
      </x:c>
      <x:c r="H14" s="44" t="n">
        <x:v>19.05</x:v>
      </x:c>
      <x:c r="I14" s="44" t="n">
        <x:v>43.7</x:v>
      </x:c>
      <x:c r="J14" s="42" t="str"/>
      <x:c r="K14" s="42" t="str">
        <x:v>Standard Tax</x:v>
      </x:c>
      <x:c r="L14" s="42" t="str">
        <x:v>Hearthline</x:v>
      </x:c>
      <x:c r="M14" s="42" t="str">
        <x:v>Mosaic Supply Co</x:v>
      </x:c>
      <x:c r="N14" s="42" t="str">
        <x:v>SUP-4107</x:v>
      </x:c>
      <x:c r="O14" s="42" t="n">
        <x:v>1</x:v>
      </x:c>
      <x:c r="P14" s="42" t="str"/>
      <x:c r="Q14" s="42" t="str"/>
      <x:c r="R14" s="42" t="str"/>
      <x:c r="S14" s="42" t="str"/>
      <x:c r="T14" s="42" t="str"/>
      <x:c r="U14" s="42" t="str"/>
      <x:c r="V14" s="42" t="n">
        <x:v>1</x:v>
      </x:c>
      <x:c r="W14" s="45" t="n">
        <x:v>1.1</x:v>
      </x:c>
      <x:c r="X14" s="42" t="str">
        <x:v>kg</x:v>
      </x:c>
      <x:c r="Y14" s="42" t="str"/>
      <x:c r="Z14" s="42" t="str"/>
      <x:c r="AA14" s="42" t="str"/>
      <x:c r="AB14" s="42" t="str">
        <x:v>cm</x:v>
      </x:c>
      <x:c r="AC14" s="42" t="str">
        <x:v>200</x:v>
      </x:c>
      <x:c r="AD14" s="42" t="str">
        <x:v>500</x:v>
      </x:c>
      <x:c r="AE14" s="42" t="n">
        <x:v>1</x:v>
      </x:c>
      <x:c r="AF14" s="42" t="n">
        <x:v>14</x:v>
      </x:c>
      <x:c r="AG14" s="42" t="n">
        <x:v>8</x:v>
      </x:c>
      <x:c r="AH14" s="42" t="n">
        <x:v>19</x:v>
      </x:c>
      <x:c r="AI14" s="42" t="str"/>
      <x:c r="AJ14" s="42" t="str"/>
      <x:c r="AK14" s="42" t="str"/>
      <x:c r="AL14" s="42" t="str"/>
      <x:c r="AM14" s="46" t="str"/>
    </x:row>
    <x:row r="15">
      <x:c r="A15" s="41" t="str"/>
      <x:c r="B15" s="42" t="str">
        <x:v>glass-carafe</x:v>
      </x:c>
      <x:c r="C15" s="43" t="str">
        <x:v>HP0009</x:v>
      </x:c>
      <x:c r="D15" s="42" t="str">
        <x:v>Glass Carafe</x:v>
      </x:c>
      <x:c r="E15" s="42" t="str">
        <x:v>Glass Carafe for modern everyday spaces.</x:v>
      </x:c>
      <x:c r="F15" s="42" t="str">
        <x:v>Lifestyle / Travel</x:v>
      </x:c>
      <x:c r="G15" s="42" t="str">
        <x:v>home,retail</x:v>
      </x:c>
      <x:c r="H15" s="44" t="n">
        <x:v>20.7</x:v>
      </x:c>
      <x:c r="I15" s="44" t="n">
        <x:v>46.8</x:v>
      </x:c>
      <x:c r="J15" s="42" t="str"/>
      <x:c r="K15" s="42" t="str">
        <x:v>Standard Tax</x:v>
      </x:c>
      <x:c r="L15" s="42" t="str">
        <x:v>North &amp; Pine</x:v>
      </x:c>
      <x:c r="M15" s="42" t="str">
        <x:v>Fieldwork Goods</x:v>
      </x:c>
      <x:c r="N15" s="42" t="str">
        <x:v>SUP-4108</x:v>
      </x:c>
      <x:c r="O15" s="42" t="n">
        <x:v>1</x:v>
      </x:c>
      <x:c r="P15" s="42" t="str"/>
      <x:c r="Q15" s="42" t="str"/>
      <x:c r="R15" s="42" t="str"/>
      <x:c r="S15" s="42" t="str"/>
      <x:c r="T15" s="42" t="str"/>
      <x:c r="U15" s="42" t="str"/>
      <x:c r="V15" s="42" t="n">
        <x:v>1</x:v>
      </x:c>
      <x:c r="W15" s="45" t="n">
        <x:v>0.3</x:v>
      </x:c>
      <x:c r="X15" s="42" t="str">
        <x:v>kg</x:v>
      </x:c>
      <x:c r="Y15" s="42" t="str"/>
      <x:c r="Z15" s="42" t="str"/>
      <x:c r="AA15" s="42" t="str"/>
      <x:c r="AB15" s="42" t="str">
        <x:v>cm</x:v>
      </x:c>
      <x:c r="AC15" s="42" t="str">
        <x:v>200</x:v>
      </x:c>
      <x:c r="AD15" s="42" t="str">
        <x:v>500</x:v>
      </x:c>
      <x:c r="AE15" s="42" t="n">
        <x:v>1</x:v>
      </x:c>
      <x:c r="AF15" s="42" t="n">
        <x:v>21</x:v>
      </x:c>
      <x:c r="AG15" s="42" t="n">
        <x:v>9</x:v>
      </x:c>
      <x:c r="AH15" s="42" t="n">
        <x:v>12</x:v>
      </x:c>
      <x:c r="AI15" s="42" t="str"/>
      <x:c r="AJ15" s="42" t="str"/>
      <x:c r="AK15" s="42" t="str"/>
      <x:c r="AL15" s="42" t="str"/>
      <x:c r="AM15" s="46" t="str"/>
    </x:row>
    <x:row r="16">
      <x:c r="A16" s="41" t="str"/>
      <x:c r="B16" s="42" t="str">
        <x:v>brass-photo-frame</x:v>
      </x:c>
      <x:c r="C16" s="43" t="str">
        <x:v>HP1008</x:v>
      </x:c>
      <x:c r="D16" s="42" t="str">
        <x:v>Brass Photo Frame</x:v>
      </x:c>
      <x:c r="E16" s="42" t="str">
        <x:v>Brass Photo Frame for modern everyday spaces.</x:v>
      </x:c>
      <x:c r="F16" s="42" t="str">
        <x:v>Office</x:v>
      </x:c>
      <x:c r="G16" s="42" t="str">
        <x:v>home,retail</x:v>
      </x:c>
      <x:c r="H16" s="44" t="n">
        <x:v>22.35</x:v>
      </x:c>
      <x:c r="I16" s="44" t="n">
        <x:v>50.29</x:v>
      </x:c>
      <x:c r="J16" s="42" t="str"/>
      <x:c r="K16" s="42" t="str">
        <x:v>Standard Tax</x:v>
      </x:c>
      <x:c r="L16" s="42" t="str">
        <x:v>Studio Vale</x:v>
      </x:c>
      <x:c r="M16" s="42" t="str">
        <x:v>Evergreen Wholesale</x:v>
      </x:c>
      <x:c r="N16" s="42" t="str">
        <x:v>SUP-4109</x:v>
      </x:c>
      <x:c r="O16" s="42" t="n">
        <x:v>1</x:v>
      </x:c>
      <x:c r="P16" s="42" t="str"/>
      <x:c r="Q16" s="42" t="str"/>
      <x:c r="R16" s="42" t="str"/>
      <x:c r="S16" s="42" t="str"/>
      <x:c r="T16" s="42" t="str"/>
      <x:c r="U16" s="42" t="str"/>
      <x:c r="V16" s="42" t="n">
        <x:v>1</x:v>
      </x:c>
      <x:c r="W16" s="45" t="n">
        <x:v>0.5</x:v>
      </x:c>
      <x:c r="X16" s="42" t="str">
        <x:v>kg</x:v>
      </x:c>
      <x:c r="Y16" s="42" t="str"/>
      <x:c r="Z16" s="42" t="str"/>
      <x:c r="AA16" s="42" t="str"/>
      <x:c r="AB16" s="42" t="str">
        <x:v>cm</x:v>
      </x:c>
      <x:c r="AC16" s="42" t="str">
        <x:v>200</x:v>
      </x:c>
      <x:c r="AD16" s="42" t="str">
        <x:v>500</x:v>
      </x:c>
      <x:c r="AE16" s="42" t="n">
        <x:v>1</x:v>
      </x:c>
      <x:c r="AF16" s="42" t="n">
        <x:v>28</x:v>
      </x:c>
      <x:c r="AG16" s="42" t="n">
        <x:v>10</x:v>
      </x:c>
      <x:c r="AH16" s="42" t="n">
        <x:v>13</x:v>
      </x:c>
      <x:c r="AI16" s="42" t="str"/>
      <x:c r="AJ16" s="42" t="str"/>
      <x:c r="AK16" s="42" t="str"/>
      <x:c r="AL16" s="42" t="str"/>
      <x:c r="AM16" s="46" t="str"/>
    </x:row>
    <x:row r="17">
      <x:c r="A17" s="41" t="str"/>
      <x:c r="B17" s="42" t="str">
        <x:v>bamboo-bath-tray</x:v>
      </x:c>
      <x:c r="C17" s="43" t="str">
        <x:v>HP0011</x:v>
      </x:c>
      <x:c r="D17" s="42" t="str">
        <x:v>Bamboo Bath Tray</x:v>
      </x:c>
      <x:c r="E17" s="42" t="str">
        <x:v>Bamboo Bath Tray for modern everyday spaces.</x:v>
      </x:c>
      <x:c r="F17" s="42" t="str">
        <x:v>Home / Dining</x:v>
      </x:c>
      <x:c r="G17" s="42" t="str">
        <x:v>new,home,featured</x:v>
      </x:c>
      <x:c r="H17" s="44" t="n">
        <x:v>24</x:v>
      </x:c>
      <x:c r="I17" s="44" t="n">
        <x:v>53</x:v>
      </x:c>
      <x:c r="J17" s="42" t="str"/>
      <x:c r="K17" s="42" t="str">
        <x:v>Standard Tax</x:v>
      </x:c>
      <x:c r="L17" s="42" t="str">
        <x:v>Common Form</x:v>
      </x:c>
      <x:c r="M17" s="42" t="str">
        <x:v>Mosaic Supply Co</x:v>
      </x:c>
      <x:c r="N17" s="42" t="str">
        <x:v>SUP-4110</x:v>
      </x:c>
      <x:c r="O17" s="42" t="n">
        <x:v>1</x:v>
      </x:c>
      <x:c r="P17" s="42" t="str"/>
      <x:c r="Q17" s="42" t="str"/>
      <x:c r="R17" s="42" t="str"/>
      <x:c r="S17" s="42" t="str"/>
      <x:c r="T17" s="42" t="str"/>
      <x:c r="U17" s="42" t="str"/>
      <x:c r="V17" s="42" t="n">
        <x:v>1</x:v>
      </x:c>
      <x:c r="W17" s="45" t="n">
        <x:v>0.7</x:v>
      </x:c>
      <x:c r="X17" s="42" t="str">
        <x:v>kg</x:v>
      </x:c>
      <x:c r="Y17" s="42" t="str"/>
      <x:c r="Z17" s="42" t="str"/>
      <x:c r="AA17" s="42" t="str"/>
      <x:c r="AB17" s="42" t="str">
        <x:v>cm</x:v>
      </x:c>
      <x:c r="AC17" s="42" t="str">
        <x:v>200</x:v>
      </x:c>
      <x:c r="AD17" s="42" t="str">
        <x:v>500</x:v>
      </x:c>
      <x:c r="AE17" s="42" t="n">
        <x:v>1</x:v>
      </x:c>
      <x:c r="AF17" s="42" t="n">
        <x:v>0</x:v>
      </x:c>
      <x:c r="AG17" s="42" t="n">
        <x:v>6</x:v>
      </x:c>
      <x:c r="AH17" s="42" t="n">
        <x:v>14</x:v>
      </x:c>
      <x:c r="AI17" s="42" t="str"/>
      <x:c r="AJ17" s="42" t="str"/>
      <x:c r="AK17" s="42" t="str"/>
      <x:c r="AL17" s="42" t="str"/>
      <x:c r="AM17" s="46" t="str"/>
    </x:row>
    <x:row r="18">
      <x:c r="A18" s="41" t="str"/>
      <x:c r="B18" s="42" t="str">
        <x:v>wool-cushion-cover</x:v>
      </x:c>
      <x:c r="C18" s="43" t="str">
        <x:v>HP0012</x:v>
      </x:c>
      <x:c r="D18" s="42" t="str">
        <x:v>Wool Cushion Cover</x:v>
      </x:c>
      <x:c r="E18" s="42" t="str">
        <x:v>Wool Cushion Cover for modern everyday spaces.</x:v>
      </x:c>
      <x:c r="F18" s="42" t="str">
        <x:v>Home / Decor</x:v>
      </x:c>
      <x:c r="G18" s="42" t="str">
        <x:v>home,retail</x:v>
      </x:c>
      <x:c r="H18" s="44" t="n">
        <x:v>23.6</x:v>
      </x:c>
      <x:c r="I18" s="44" t="n">
        <x:v>56.1</x:v>
      </x:c>
      <x:c r="J18" s="42" t="str"/>
      <x:c r="K18" s="42" t="str">
        <x:v>Standard Tax</x:v>
      </x:c>
      <x:c r="L18" s="42" t="str">
        <x:v>Hearthline</x:v>
      </x:c>
      <x:c r="M18" s="42" t="str">
        <x:v>Fieldwork Goods</x:v>
      </x:c>
      <x:c r="N18" s="42" t="str">
        <x:v>SUP-4111</x:v>
      </x:c>
      <x:c r="O18" s="42" t="n">
        <x:v>1</x:v>
      </x:c>
      <x:c r="P18" s="42" t="str"/>
      <x:c r="Q18" s="42" t="str"/>
      <x:c r="R18" s="42" t="str"/>
      <x:c r="S18" s="42" t="str"/>
      <x:c r="T18" s="42" t="str"/>
      <x:c r="U18" s="42" t="str"/>
      <x:c r="V18" s="42" t="n">
        <x:v>1</x:v>
      </x:c>
      <x:c r="W18" s="45" t="n">
        <x:v>0.9</x:v>
      </x:c>
      <x:c r="X18" s="42" t="str">
        <x:v>kg</x:v>
      </x:c>
      <x:c r="Y18" s="42" t="str"/>
      <x:c r="Z18" s="42" t="str"/>
      <x:c r="AA18" s="42" t="str"/>
      <x:c r="AB18" s="42" t="str">
        <x:v>cm</x:v>
      </x:c>
      <x:c r="AC18" s="42" t="str">
        <x:v>200</x:v>
      </x:c>
      <x:c r="AD18" s="42" t="str">
        <x:v>500</x:v>
      </x:c>
      <x:c r="AE18" s="42" t="n">
        <x:v>1</x:v>
      </x:c>
      <x:c r="AF18" s="42" t="n">
        <x:v>42</x:v>
      </x:c>
      <x:c r="AG18" s="42" t="n">
        <x:v>7</x:v>
      </x:c>
      <x:c r="AH18" s="42" t="n">
        <x:v>15</x:v>
      </x:c>
      <x:c r="AI18" s="42" t="str"/>
      <x:c r="AJ18" s="42" t="str"/>
      <x:c r="AK18" s="42" t="str"/>
      <x:c r="AL18" s="42" t="str"/>
      <x:c r="AM18" s="46" t="str"/>
    </x:row>
    <x:row r="19">
      <x:c r="A19" s="41" t="str"/>
      <x:c r="B19" s="42" t="str">
        <x:v>marble-coaster-set</x:v>
      </x:c>
      <x:c r="C19" s="43" t="str">
        <x:v>HP0013</x:v>
      </x:c>
      <x:c r="D19" s="42" t="str">
        <x:v>Marble Coaster Set</x:v>
      </x:c>
      <x:c r="E19" s="42" t="str">
        <x:v>Marble Coaster Set made for practical, modern spaces.</x:v>
      </x:c>
      <x:c r="F19" s="42" t="str">
        <x:v>Home / Bath</x:v>
      </x:c>
      <x:c r="G19" s="42" t="str">
        <x:v>home,retail</x:v>
      </x:c>
      <x:c r="H19" s="44" t="n">
        <x:v>27.3</x:v>
      </x:c>
      <x:c r="I19" s="44" t="n">
        <x:v>59.2</x:v>
      </x:c>
      <x:c r="J19" s="42" t="str"/>
      <x:c r="K19" s="42" t="str">
        <x:v>Standard Tax</x:v>
      </x:c>
      <x:c r="L19" s="42" t="str">
        <x:v>North &amp; Pine</x:v>
      </x:c>
      <x:c r="M19" s="42" t="str">
        <x:v>Evergreen Wholesale</x:v>
      </x:c>
      <x:c r="N19" s="42" t="str">
        <x:v>SUP-4112</x:v>
      </x:c>
      <x:c r="O19" s="42" t="n">
        <x:v>1</x:v>
      </x:c>
      <x:c r="P19" s="42" t="str"/>
      <x:c r="Q19" s="42" t="str"/>
      <x:c r="R19" s="42" t="str"/>
      <x:c r="S19" s="42" t="str"/>
      <x:c r="T19" s="42" t="str"/>
      <x:c r="U19" s="42" t="str"/>
      <x:c r="V19" s="42" t="n">
        <x:v>1</x:v>
      </x:c>
      <x:c r="W19" s="45" t="n">
        <x:v>1.1</x:v>
      </x:c>
      <x:c r="X19" s="42" t="str">
        <x:v>kg</x:v>
      </x:c>
      <x:c r="Y19" s="42" t="str"/>
      <x:c r="Z19" s="42" t="str"/>
      <x:c r="AA19" s="42" t="str"/>
      <x:c r="AB19" s="42" t="str">
        <x:v>cm</x:v>
      </x:c>
      <x:c r="AC19" s="42" t="str">
        <x:v>200</x:v>
      </x:c>
      <x:c r="AD19" s="42" t="str">
        <x:v>500</x:v>
      </x:c>
      <x:c r="AE19" s="42" t="n">
        <x:v>1</x:v>
      </x:c>
      <x:c r="AF19" s="42" t="n">
        <x:v>49</x:v>
      </x:c>
      <x:c r="AG19" s="42" t="n">
        <x:v>8</x:v>
      </x:c>
      <x:c r="AH19" s="42" t="n">
        <x:v>16</x:v>
      </x:c>
      <x:c r="AI19" s="42" t="str"/>
      <x:c r="AJ19" s="42" t="str"/>
      <x:c r="AK19" s="42" t="str"/>
      <x:c r="AL19" s="42" t="str"/>
      <x:c r="AM19" s="46" t="str"/>
    </x:row>
    <x:row r="20">
      <x:c r="A20" s="41" t="str"/>
      <x:c r="B20" s="42" t="str">
        <x:v>rattan-tissue-box</x:v>
      </x:c>
      <x:c r="C20" s="43" t="str">
        <x:v>HP0014</x:v>
      </x:c>
      <x:c r="D20" s="42" t="str">
        <x:v>Rattan Tissue Box</x:v>
      </x:c>
      <x:c r="E20" s="42" t="str">
        <x:v>Rattan Tissue Box for modern everyday spaces.</x:v>
      </x:c>
      <x:c r="F20" s="42" t="str">
        <x:v>Lifestyle / Travel</x:v>
      </x:c>
      <x:c r="G20" s="42" t="str">
        <x:v>home,retail</x:v>
      </x:c>
      <x:c r="H20" s="44" t="n">
        <x:v>28.95</x:v>
      </x:c>
      <x:c r="I20" s="44" t="n">
        <x:v>62.3</x:v>
      </x:c>
      <x:c r="J20" s="42" t="str"/>
      <x:c r="K20" s="42" t="str">
        <x:v>Standard Tax</x:v>
      </x:c>
      <x:c r="L20" s="42" t="str">
        <x:v>Studio Vale</x:v>
      </x:c>
      <x:c r="M20" s="42" t="str">
        <x:v>Mosaic Supply Co</x:v>
      </x:c>
      <x:c r="N20" s="42" t="str">
        <x:v>SUP-4113</x:v>
      </x:c>
      <x:c r="O20" s="42" t="n">
        <x:v>0</x:v>
      </x:c>
      <x:c r="P20" s="42" t="str"/>
      <x:c r="Q20" s="42" t="str"/>
      <x:c r="R20" s="42" t="str"/>
      <x:c r="S20" s="42" t="str"/>
      <x:c r="T20" s="42" t="str"/>
      <x:c r="U20" s="42" t="str"/>
      <x:c r="V20" s="42" t="n">
        <x:v>0</x:v>
      </x:c>
      <x:c r="W20" s="45" t="n">
        <x:v>0.3</x:v>
      </x:c>
      <x:c r="X20" s="42" t="str">
        <x:v>kg</x:v>
      </x:c>
      <x:c r="Y20" s="42" t="str"/>
      <x:c r="Z20" s="42" t="str"/>
      <x:c r="AA20" s="42" t="str"/>
      <x:c r="AB20" s="42" t="str">
        <x:v>cm</x:v>
      </x:c>
      <x:c r="AC20" s="42" t="str">
        <x:v>200</x:v>
      </x:c>
      <x:c r="AD20" s="42" t="str">
        <x:v>500</x:v>
      </x:c>
      <x:c r="AE20" s="42" t="n">
        <x:v>1</x:v>
      </x:c>
      <x:c r="AF20" s="42" t="n">
        <x:v>13</x:v>
      </x:c>
      <x:c r="AG20" s="42" t="n">
        <x:v>9</x:v>
      </x:c>
      <x:c r="AH20" s="42" t="n">
        <x:v>17</x:v>
      </x:c>
      <x:c r="AI20" s="42" t="str"/>
      <x:c r="AJ20" s="42" t="str"/>
      <x:c r="AK20" s="42" t="str"/>
      <x:c r="AL20" s="42" t="str"/>
      <x:c r="AM20" s="46" t="str"/>
    </x:row>
    <x:row r="21">
      <x:c r="A21" s="41" t="str"/>
      <x:c r="B21" s="42" t="str">
        <x:v>enamel-tea-kettle</x:v>
      </x:c>
      <x:c r="C21" s="43" t="str">
        <x:v>HP0015</x:v>
      </x:c>
      <x:c r="D21" s="42" t="str">
        <x:v>ENAMEL TEA KETTLE</x:v>
      </x:c>
      <x:c r="E21" s="42" t="str">
        <x:v>Enamel Tea Kettle for modern everyday spaces.</x:v>
      </x:c>
      <x:c r="F21" s="42" t="str">
        <x:v>Office</x:v>
      </x:c>
      <x:c r="G21" s="42" t="str">
        <x:v>home,retail</x:v>
      </x:c>
      <x:c r="H21" s="44" t="n">
        <x:v>30.6</x:v>
      </x:c>
      <x:c r="I21" s="44" t="n">
        <x:v>65.4</x:v>
      </x:c>
      <x:c r="J21" s="42" t="str"/>
      <x:c r="K21" s="42" t="str">
        <x:v>Standard Tax</x:v>
      </x:c>
      <x:c r="L21" s="42" t="str">
        <x:v>Common Form</x:v>
      </x:c>
      <x:c r="M21" s="42" t="str">
        <x:v>Fieldwork Goods</x:v>
      </x:c>
      <x:c r="N21" s="42" t="str">
        <x:v>SUP-4114</x:v>
      </x:c>
      <x:c r="O21" s="42" t="n">
        <x:v>1</x:v>
      </x:c>
      <x:c r="P21" s="42" t="str"/>
      <x:c r="Q21" s="42" t="str"/>
      <x:c r="R21" s="42" t="str"/>
      <x:c r="S21" s="42" t="str"/>
      <x:c r="T21" s="42" t="str"/>
      <x:c r="U21" s="42" t="str"/>
      <x:c r="V21" s="42" t="n">
        <x:v>1</x:v>
      </x:c>
      <x:c r="W21" s="45" t="n">
        <x:v>0.5</x:v>
      </x:c>
      <x:c r="X21" s="42" t="str">
        <x:v>kg</x:v>
      </x:c>
      <x:c r="Y21" s="42" t="str"/>
      <x:c r="Z21" s="42" t="str"/>
      <x:c r="AA21" s="42" t="str"/>
      <x:c r="AB21" s="42" t="str">
        <x:v>cm</x:v>
      </x:c>
      <x:c r="AC21" s="42" t="str">
        <x:v>200</x:v>
      </x:c>
      <x:c r="AD21" s="42" t="str">
        <x:v>500</x:v>
      </x:c>
      <x:c r="AE21" s="42" t="n">
        <x:v>1</x:v>
      </x:c>
      <x:c r="AF21" s="42" t="n">
        <x:v>20</x:v>
      </x:c>
      <x:c r="AG21" s="42" t="n">
        <x:v>10</x:v>
      </x:c>
      <x:c r="AH21" s="42" t="n">
        <x:v>18</x:v>
      </x:c>
      <x:c r="AI21" s="42" t="str"/>
      <x:c r="AJ21" s="42" t="str"/>
      <x:c r="AK21" s="42" t="str"/>
      <x:c r="AL21" s="42" t="str"/>
      <x:c r="AM21" s="46" t="str"/>
    </x:row>
    <x:row r="22">
      <x:c r="A22" s="41" t="str"/>
      <x:c r="B22" s="42" t="str">
        <x:v>acacia-salad-bowl</x:v>
      </x:c>
      <x:c r="C22" s="43" t="str">
        <x:v>HP0016</x:v>
      </x:c>
      <x:c r="D22" s="42" t="str">
        <x:v>Acacia Salad Bowl</x:v>
      </x:c>
      <x:c r="E22" s="42" t="str">
        <x:v>Acacia Salad Bowl for modern everyday spaces.</x:v>
      </x:c>
      <x:c r="F22" s="42" t="str">
        <x:v>Home / Dining</x:v>
      </x:c>
      <x:c r="G22" s="42" t="str">
        <x:v>new,home,featured</x:v>
      </x:c>
      <x:c r="H22" s="44" t="n">
        <x:v>32.25</x:v>
      </x:c>
      <x:c r="I22" s="44" t="n">
        <x:v>68.5</x:v>
      </x:c>
      <x:c r="J22" s="42" t="str"/>
      <x:c r="K22" s="42" t="str">
        <x:v>Standard Tax</x:v>
      </x:c>
      <x:c r="L22" s="42" t="str">
        <x:v>Hearthline</x:v>
      </x:c>
      <x:c r="M22" s="42" t="str">
        <x:v>Evergreen Wholesale</x:v>
      </x:c>
      <x:c r="N22" s="42" t="str">
        <x:v>SUP-4115</x:v>
      </x:c>
      <x:c r="O22" s="42" t="n">
        <x:v>1</x:v>
      </x:c>
      <x:c r="P22" s="42" t="str"/>
      <x:c r="Q22" s="42" t="str"/>
      <x:c r="R22" s="42" t="str"/>
      <x:c r="S22" s="42" t="str"/>
      <x:c r="T22" s="42" t="str"/>
      <x:c r="U22" s="42" t="str"/>
      <x:c r="V22" s="42" t="n">
        <x:v>1</x:v>
      </x:c>
      <x:c r="W22" s="45" t="n">
        <x:v>0.7</x:v>
      </x:c>
      <x:c r="X22" s="42" t="str">
        <x:v>kg</x:v>
      </x:c>
      <x:c r="Y22" s="42" t="str"/>
      <x:c r="Z22" s="42" t="str"/>
      <x:c r="AA22" s="42" t="str"/>
      <x:c r="AB22" s="42" t="str">
        <x:v>cm</x:v>
      </x:c>
      <x:c r="AC22" s="42" t="str">
        <x:v>200</x:v>
      </x:c>
      <x:c r="AD22" s="42" t="str">
        <x:v>500</x:v>
      </x:c>
      <x:c r="AE22" s="42" t="n">
        <x:v>1</x:v>
      </x:c>
      <x:c r="AF22" s="42" t="n">
        <x:v>27</x:v>
      </x:c>
      <x:c r="AG22" s="42" t="n">
        <x:v>6</x:v>
      </x:c>
      <x:c r="AH22" s="42" t="n">
        <x:v>19</x:v>
      </x:c>
      <x:c r="AI22" s="42" t="str"/>
      <x:c r="AJ22" s="42" t="str"/>
      <x:c r="AK22" s="42" t="str"/>
      <x:c r="AL22" s="42" t="str"/>
      <x:c r="AM22" s="46" t="str"/>
    </x:row>
    <x:row r="23">
      <x:c r="A23" s="41" t="str"/>
      <x:c r="B23" s="42" t="str">
        <x:v>velvet-floor-cushion</x:v>
      </x:c>
      <x:c r="C23" s="43" t="str">
        <x:v>HP0017</x:v>
      </x:c>
      <x:c r="D23" s="42" t="str">
        <x:v>Velvet Floor Cushion</x:v>
      </x:c>
      <x:c r="E23" s="42" t="str">
        <x:v>Velvet Floor Cushion for modern everyday spaces.</x:v>
      </x:c>
      <x:c r="F23" s="42" t="str">
        <x:v>Home / Decor</x:v>
      </x:c>
      <x:c r="G23" s="42" t="str">
        <x:v>home,retail</x:v>
      </x:c>
      <x:c r="H23" s="44" t="n">
        <x:v>33.9</x:v>
      </x:c>
      <x:c r="I23" s="44" t="n">
        <x:v>71.6</x:v>
      </x:c>
      <x:c r="J23" s="42" t="str"/>
      <x:c r="K23" s="42" t="str">
        <x:v>Standard Tax</x:v>
      </x:c>
      <x:c r="L23" s="42" t="str">
        <x:v>North &amp; Pine</x:v>
      </x:c>
      <x:c r="M23" s="42" t="str">
        <x:v>Mosaic Supply Co</x:v>
      </x:c>
      <x:c r="N23" s="42" t="str">
        <x:v>SUP-4116</x:v>
      </x:c>
      <x:c r="O23" s="42" t="n">
        <x:v>1</x:v>
      </x:c>
      <x:c r="P23" s="42" t="str"/>
      <x:c r="Q23" s="42" t="str"/>
      <x:c r="R23" s="42" t="str"/>
      <x:c r="S23" s="42" t="str"/>
      <x:c r="T23" s="42" t="str"/>
      <x:c r="U23" s="42" t="str"/>
      <x:c r="V23" s="42" t="n">
        <x:v>1</x:v>
      </x:c>
      <x:c r="W23" s="45" t="n">
        <x:v>0.9</x:v>
      </x:c>
      <x:c r="X23" s="42" t="str">
        <x:v>kg</x:v>
      </x:c>
      <x:c r="Y23" s="42" t="str"/>
      <x:c r="Z23" s="42" t="str"/>
      <x:c r="AA23" s="42" t="str"/>
      <x:c r="AB23" s="42" t="str">
        <x:v>cm</x:v>
      </x:c>
      <x:c r="AC23" s="42" t="str">
        <x:v>200</x:v>
      </x:c>
      <x:c r="AD23" s="42" t="str">
        <x:v>500</x:v>
      </x:c>
      <x:c r="AE23" s="42" t="n">
        <x:v>1</x:v>
      </x:c>
      <x:c r="AF23" s="42" t="n">
        <x:v>34</x:v>
      </x:c>
      <x:c r="AG23" s="42" t="n">
        <x:v>7</x:v>
      </x:c>
      <x:c r="AH23" s="42" t="n">
        <x:v>12</x:v>
      </x:c>
      <x:c r="AI23" s="42" t="str"/>
      <x:c r="AJ23" s="42" t="str"/>
      <x:c r="AK23" s="42" t="str"/>
      <x:c r="AL23" s="42" t="str"/>
      <x:c r="AM23" s="46" t="str"/>
    </x:row>
    <x:row r="24">
      <x:c r="A24" s="41" t="str"/>
      <x:c r="B24" s="42" t="str">
        <x:v>recycled-glass-vase</x:v>
      </x:c>
      <x:c r="C24" s="43" t="str">
        <x:v>HP0018</x:v>
      </x:c>
      <x:c r="D24" s="42" t="str">
        <x:v>Recycled Glass Vase</x:v>
      </x:c>
      <x:c r="E24" s="42" t="str">
        <x:v>Recycled Glass Vase for modern everyday spaces.</x:v>
      </x:c>
      <x:c r="F24" s="42" t="str">
        <x:v>Home / Bath</x:v>
      </x:c>
      <x:c r="G24" s="42" t="str">
        <x:v>home,retail</x:v>
      </x:c>
      <x:c r="H24" s="44" t="n">
        <x:v>35.55</x:v>
      </x:c>
      <x:c r="I24" s="44" t="n">
        <x:v>74.7</x:v>
      </x:c>
      <x:c r="J24" s="42" t="str"/>
      <x:c r="K24" s="42" t="str">
        <x:v>Standard Tax</x:v>
      </x:c>
      <x:c r="L24" s="42" t="str">
        <x:v>Studio Vale</x:v>
      </x:c>
      <x:c r="M24" s="42" t="str">
        <x:v>Fieldwork Goods</x:v>
      </x:c>
      <x:c r="N24" s="42" t="str">
        <x:v>SUP-4117</x:v>
      </x:c>
      <x:c r="O24" s="42" t="n">
        <x:v>1</x:v>
      </x:c>
      <x:c r="P24" s="42" t="str"/>
      <x:c r="Q24" s="42" t="str"/>
      <x:c r="R24" s="42" t="str"/>
      <x:c r="S24" s="42" t="str"/>
      <x:c r="T24" s="42" t="str"/>
      <x:c r="U24" s="42" t="str"/>
      <x:c r="V24" s="42" t="n">
        <x:v>1</x:v>
      </x:c>
      <x:c r="W24" s="45" t="n">
        <x:v>1.1</x:v>
      </x:c>
      <x:c r="X24" s="42" t="str">
        <x:v>kg</x:v>
      </x:c>
      <x:c r="Y24" s="42" t="str"/>
      <x:c r="Z24" s="42" t="str"/>
      <x:c r="AA24" s="42" t="str"/>
      <x:c r="AB24" s="42" t="str">
        <x:v>cm</x:v>
      </x:c>
      <x:c r="AC24" s="42" t="str">
        <x:v>200</x:v>
      </x:c>
      <x:c r="AD24" s="42" t="str">
        <x:v>500</x:v>
      </x:c>
      <x:c r="AE24" s="42" t="n">
        <x:v>1</x:v>
      </x:c>
      <x:c r="AF24" s="42" t="n">
        <x:v>41</x:v>
      </x:c>
      <x:c r="AG24" s="42" t="n">
        <x:v>8</x:v>
      </x:c>
      <x:c r="AH24" s="42" t="n">
        <x:v>13</x:v>
      </x:c>
      <x:c r="AI24" s="42" t="str"/>
      <x:c r="AJ24" s="42" t="str"/>
      <x:c r="AK24" s="42" t="str"/>
      <x:c r="AL24" s="42" t="str"/>
      <x:c r="AM24" s="46" t="str"/>
    </x:row>
    <x:row r="25">
      <x:c r="A25" s="41" t="str"/>
      <x:c r="B25" s="42" t="str">
        <x:v>hand-towel-set</x:v>
      </x:c>
      <x:c r="C25" s="43" t="str">
        <x:v>HP10082</x:v>
      </x:c>
      <x:c r="D25" s="42" t="str">
        <x:v>Hand Towel Set</x:v>
      </x:c>
      <x:c r="E25" s="42" t="str">
        <x:v>Hand Towel Set made for practical, modern spaces.</x:v>
      </x:c>
      <x:c r="F25" s="42" t="str">
        <x:v>Lifestyle / Travel</x:v>
      </x:c>
      <x:c r="G25" s="42" t="str">
        <x:v>home,retail</x:v>
      </x:c>
      <x:c r="H25" s="44" t="n">
        <x:v>37.2</x:v>
      </x:c>
      <x:c r="I25" s="44" t="n">
        <x:v>83.7</x:v>
      </x:c>
      <x:c r="J25" s="42" t="str"/>
      <x:c r="K25" s="42" t="str">
        <x:v>Standard Tax</x:v>
      </x:c>
      <x:c r="L25" s="42" t="str">
        <x:v>Common Form</x:v>
      </x:c>
      <x:c r="M25" s="42" t="str">
        <x:v>Evergreen Wholesale</x:v>
      </x:c>
      <x:c r="N25" s="42" t="str">
        <x:v>SUP-4118</x:v>
      </x:c>
      <x:c r="O25" s="42" t="n">
        <x:v>1</x:v>
      </x:c>
      <x:c r="P25" s="42" t="str"/>
      <x:c r="Q25" s="42" t="str"/>
      <x:c r="R25" s="42" t="str"/>
      <x:c r="S25" s="42" t="str"/>
      <x:c r="T25" s="42" t="str"/>
      <x:c r="U25" s="42" t="str"/>
      <x:c r="V25" s="42" t="n">
        <x:v>1</x:v>
      </x:c>
      <x:c r="W25" s="45" t="n">
        <x:v>0.3</x:v>
      </x:c>
      <x:c r="X25" s="42" t="str">
        <x:v>kg</x:v>
      </x:c>
      <x:c r="Y25" s="42" t="str"/>
      <x:c r="Z25" s="42" t="str"/>
      <x:c r="AA25" s="42" t="str"/>
      <x:c r="AB25" s="42" t="str">
        <x:v>cm</x:v>
      </x:c>
      <x:c r="AC25" s="42" t="str">
        <x:v>200</x:v>
      </x:c>
      <x:c r="AD25" s="42" t="str">
        <x:v>500</x:v>
      </x:c>
      <x:c r="AE25" s="42" t="n">
        <x:v>1</x:v>
      </x:c>
      <x:c r="AF25" s="42" t="n">
        <x:v>48</x:v>
      </x:c>
      <x:c r="AG25" s="42" t="n">
        <x:v>9</x:v>
      </x:c>
      <x:c r="AH25" s="42" t="n">
        <x:v>14</x:v>
      </x:c>
      <x:c r="AI25" s="42" t="str"/>
      <x:c r="AJ25" s="42" t="str"/>
      <x:c r="AK25" s="42" t="str"/>
      <x:c r="AL25" s="42" t="str"/>
      <x:c r="AM25" s="46" t="str"/>
    </x:row>
    <x:row r="26">
      <x:c r="A26" s="41" t="str"/>
      <x:c r="B26" s="42" t="str">
        <x:v>cedar-hanger-pack</x:v>
      </x:c>
      <x:c r="C26" s="43" t="str">
        <x:v>HP0020</x:v>
      </x:c>
      <x:c r="D26" s="42" t="str">
        <x:v>Cedar Hanger Pack</x:v>
      </x:c>
      <x:c r="E26" s="42" t="str">
        <x:v>Cedar Hanger Pack for modern everyday spaces.</x:v>
      </x:c>
      <x:c r="F26" s="42" t="str">
        <x:v>Office</x:v>
      </x:c>
      <x:c r="G26" s="42" t="str">
        <x:v>home,retail</x:v>
      </x:c>
      <x:c r="H26" s="44" t="n">
        <x:v>38.85</x:v>
      </x:c>
      <x:c r="I26" s="44" t="n">
        <x:v>80.9</x:v>
      </x:c>
      <x:c r="J26" s="42" t="str"/>
      <x:c r="K26" s="42" t="str">
        <x:v>Standard Tax</x:v>
      </x:c>
      <x:c r="L26" s="42" t="str">
        <x:v>Hearthline</x:v>
      </x:c>
      <x:c r="M26" s="42" t="str">
        <x:v>Mosaic Supply Co</x:v>
      </x:c>
      <x:c r="N26" s="42" t="str">
        <x:v>SUP-4119</x:v>
      </x:c>
      <x:c r="O26" s="42" t="n">
        <x:v>1</x:v>
      </x:c>
      <x:c r="P26" s="42" t="str"/>
      <x:c r="Q26" s="42" t="str"/>
      <x:c r="R26" s="42" t="str"/>
      <x:c r="S26" s="42" t="str"/>
      <x:c r="T26" s="42" t="str"/>
      <x:c r="U26" s="42" t="str"/>
      <x:c r="V26" s="42" t="n">
        <x:v>1</x:v>
      </x:c>
      <x:c r="W26" s="45" t="n">
        <x:v>0.5</x:v>
      </x:c>
      <x:c r="X26" s="42" t="str">
        <x:v>kg</x:v>
      </x:c>
      <x:c r="Y26" s="42" t="str"/>
      <x:c r="Z26" s="42" t="str"/>
      <x:c r="AA26" s="42" t="str"/>
      <x:c r="AB26" s="42" t="str">
        <x:v>cm</x:v>
      </x:c>
      <x:c r="AC26" s="42" t="str">
        <x:v>200</x:v>
      </x:c>
      <x:c r="AD26" s="42" t="str">
        <x:v>500</x:v>
      </x:c>
      <x:c r="AE26" s="42" t="n">
        <x:v>1</x:v>
      </x:c>
      <x:c r="AF26" s="42" t="n">
        <x:v>12</x:v>
      </x:c>
      <x:c r="AG26" s="42" t="n">
        <x:v>10</x:v>
      </x:c>
      <x:c r="AH26" s="42" t="n">
        <x:v>15</x:v>
      </x:c>
      <x:c r="AI26" s="42" t="str"/>
      <x:c r="AJ26" s="42" t="str"/>
      <x:c r="AK26" s="42" t="str"/>
      <x:c r="AL26" s="42" t="str"/>
      <x:c r="AM26" s="46" t="str"/>
    </x:row>
    <x:row r="27">
      <x:c r="A27" s="41" t="str"/>
      <x:c r="B27" s="42" t="str">
        <x:v>travel-cutlery-set</x:v>
      </x:c>
      <x:c r="C27" s="43" t="str">
        <x:v>HP0021</x:v>
      </x:c>
      <x:c r="D27" s="42" t="str">
        <x:v>Travel Cutlery Set</x:v>
      </x:c>
      <x:c r="E27" s="42" t="str">
        <x:v>Travel Cutlery Set for modern everyday spaces.</x:v>
      </x:c>
      <x:c r="F27" s="42" t="str">
        <x:v>Home / Dining</x:v>
      </x:c>
      <x:c r="G27" s="42" t="str">
        <x:v>new,home,featured</x:v>
      </x:c>
      <x:c r="H27" s="44" t="n">
        <x:v>40.5</x:v>
      </x:c>
      <x:c r="I27" s="44" t="n">
        <x:v>84</x:v>
      </x:c>
      <x:c r="J27" s="42" t="str"/>
      <x:c r="K27" s="42" t="str">
        <x:v>Standard Tax</x:v>
      </x:c>
      <x:c r="L27" s="42" t="str">
        <x:v>North &amp; Pine</x:v>
      </x:c>
      <x:c r="M27" s="42" t="str">
        <x:v>Fieldwork Goods</x:v>
      </x:c>
      <x:c r="N27" s="42" t="str">
        <x:v>SUP-4120</x:v>
      </x:c>
      <x:c r="O27" s="42" t="n">
        <x:v>1</x:v>
      </x:c>
      <x:c r="P27" s="42" t="str"/>
      <x:c r="Q27" s="42" t="str"/>
      <x:c r="R27" s="42" t="str"/>
      <x:c r="S27" s="42" t="str"/>
      <x:c r="T27" s="42" t="str"/>
      <x:c r="U27" s="42" t="str"/>
      <x:c r="V27" s="42" t="n">
        <x:v>1</x:v>
      </x:c>
      <x:c r="W27" s="45" t="n">
        <x:v>0.7</x:v>
      </x:c>
      <x:c r="X27" s="42" t="str">
        <x:v>kg</x:v>
      </x:c>
      <x:c r="Y27" s="42" t="str"/>
      <x:c r="Z27" s="42" t="str"/>
      <x:c r="AA27" s="42" t="str"/>
      <x:c r="AB27" s="42" t="str">
        <x:v>cm</x:v>
      </x:c>
      <x:c r="AC27" s="42" t="str">
        <x:v>200</x:v>
      </x:c>
      <x:c r="AD27" s="42" t="str">
        <x:v>500</x:v>
      </x:c>
      <x:c r="AE27" s="42" t="n">
        <x:v>1</x:v>
      </x:c>
      <x:c r="AF27" s="42" t="n">
        <x:v>0</x:v>
      </x:c>
      <x:c r="AG27" s="42" t="n">
        <x:v>6</x:v>
      </x:c>
      <x:c r="AH27" s="42" t="n">
        <x:v>16</x:v>
      </x:c>
      <x:c r="AI27" s="42" t="str"/>
      <x:c r="AJ27" s="42" t="str"/>
      <x:c r="AK27" s="42" t="str"/>
      <x:c r="AL27" s="42" t="str"/>
      <x:c r="AM27" s="46" t="str"/>
    </x:row>
    <x:row r="28">
      <x:c r="A28" s="41" t="str"/>
      <x:c r="B28" s="42" t="str">
        <x:v>desk-organizer</x:v>
      </x:c>
      <x:c r="C28" s="43" t="str">
        <x:v>HP0022</x:v>
      </x:c>
      <x:c r="D28" s="42" t="str">
        <x:v>DESK ORGANIZER</x:v>
      </x:c>
      <x:c r="E28" s="42" t="str">
        <x:v>Desk Organizer for modern everyday spaces.</x:v>
      </x:c>
      <x:c r="F28" s="42" t="str">
        <x:v>Home / Decor</x:v>
      </x:c>
      <x:c r="G28" s="42" t="str">
        <x:v>home,retail</x:v>
      </x:c>
      <x:c r="H28" s="44" t="n">
        <x:v>42.15</x:v>
      </x:c>
      <x:c r="I28" s="44" t="n">
        <x:v>87.1</x:v>
      </x:c>
      <x:c r="J28" s="42" t="str"/>
      <x:c r="K28" s="42" t="str">
        <x:v>Standard Tax</x:v>
      </x:c>
      <x:c r="L28" s="42" t="str">
        <x:v>Studio Vale</x:v>
      </x:c>
      <x:c r="M28" s="42" t="str">
        <x:v>Evergreen Wholesale</x:v>
      </x:c>
      <x:c r="N28" s="42" t="str">
        <x:v>SUP-4121</x:v>
      </x:c>
      <x:c r="O28" s="42" t="n">
        <x:v>1</x:v>
      </x:c>
      <x:c r="P28" s="42" t="str"/>
      <x:c r="Q28" s="42" t="str"/>
      <x:c r="R28" s="42" t="str"/>
      <x:c r="S28" s="42" t="str"/>
      <x:c r="T28" s="42" t="str"/>
      <x:c r="U28" s="42" t="str"/>
      <x:c r="V28" s="42" t="n">
        <x:v>1</x:v>
      </x:c>
      <x:c r="W28" s="45" t="n">
        <x:v>0.9</x:v>
      </x:c>
      <x:c r="X28" s="42" t="str">
        <x:v>kg</x:v>
      </x:c>
      <x:c r="Y28" s="42" t="str"/>
      <x:c r="Z28" s="42" t="str"/>
      <x:c r="AA28" s="42" t="str"/>
      <x:c r="AB28" s="42" t="str">
        <x:v>cm</x:v>
      </x:c>
      <x:c r="AC28" s="42" t="str">
        <x:v>200</x:v>
      </x:c>
      <x:c r="AD28" s="42" t="str">
        <x:v>500</x:v>
      </x:c>
      <x:c r="AE28" s="42" t="n">
        <x:v>1</x:v>
      </x:c>
      <x:c r="AF28" s="42" t="n">
        <x:v>26</x:v>
      </x:c>
      <x:c r="AG28" s="42" t="n">
        <x:v>7</x:v>
      </x:c>
      <x:c r="AH28" s="42" t="n">
        <x:v>17</x:v>
      </x:c>
      <x:c r="AI28" s="42" t="str"/>
      <x:c r="AJ28" s="42" t="str"/>
      <x:c r="AK28" s="42" t="str"/>
      <x:c r="AL28" s="42" t="str"/>
      <x:c r="AM28" s="46" t="str"/>
    </x:row>
    <x:row r="29">
      <x:c r="A29" s="41" t="str"/>
      <x:c r="B29" s="42" t="str">
        <x:v>waffle-robe</x:v>
      </x:c>
      <x:c r="C29" s="43" t="str">
        <x:v>HP0023</x:v>
      </x:c>
      <x:c r="D29" s="42" t="str">
        <x:v>Waffle Robe</x:v>
      </x:c>
      <x:c r="E29" s="42" t="str">
        <x:v>Waffle Robe for modern everyday spaces.</x:v>
      </x:c>
      <x:c r="F29" s="42" t="str">
        <x:v>Home / Bath</x:v>
      </x:c>
      <x:c r="G29" s="42" t="str">
        <x:v>home,retail</x:v>
      </x:c>
      <x:c r="H29" s="44" t="n">
        <x:v>36.8</x:v>
      </x:c>
      <x:c r="I29" s="44" t="n">
        <x:v>90.2</x:v>
      </x:c>
      <x:c r="J29" s="42" t="str"/>
      <x:c r="K29" s="42" t="str">
        <x:v>Standard Tax</x:v>
      </x:c>
      <x:c r="L29" s="42" t="str">
        <x:v>Common Form</x:v>
      </x:c>
      <x:c r="M29" s="42" t="str">
        <x:v>Mosaic Supply Co</x:v>
      </x:c>
      <x:c r="N29" s="42" t="str">
        <x:v>SUP-4122</x:v>
      </x:c>
      <x:c r="O29" s="42" t="n">
        <x:v>1</x:v>
      </x:c>
      <x:c r="P29" s="42" t="str"/>
      <x:c r="Q29" s="42" t="str"/>
      <x:c r="R29" s="42" t="str"/>
      <x:c r="S29" s="42" t="str"/>
      <x:c r="T29" s="42" t="str"/>
      <x:c r="U29" s="42" t="str"/>
      <x:c r="V29" s="42" t="n">
        <x:v>1</x:v>
      </x:c>
      <x:c r="W29" s="45" t="n">
        <x:v>1.1</x:v>
      </x:c>
      <x:c r="X29" s="42" t="str">
        <x:v>kg</x:v>
      </x:c>
      <x:c r="Y29" s="42" t="str"/>
      <x:c r="Z29" s="42" t="str"/>
      <x:c r="AA29" s="42" t="str"/>
      <x:c r="AB29" s="42" t="str">
        <x:v>cm</x:v>
      </x:c>
      <x:c r="AC29" s="42" t="str">
        <x:v>200</x:v>
      </x:c>
      <x:c r="AD29" s="42" t="str">
        <x:v>500</x:v>
      </x:c>
      <x:c r="AE29" s="42" t="n">
        <x:v>1</x:v>
      </x:c>
      <x:c r="AF29" s="42" t="n">
        <x:v>33</x:v>
      </x:c>
      <x:c r="AG29" s="42" t="n">
        <x:v>8</x:v>
      </x:c>
      <x:c r="AH29" s="42" t="n">
        <x:v>18</x:v>
      </x:c>
      <x:c r="AI29" s="42" t="str"/>
      <x:c r="AJ29" s="42" t="str"/>
      <x:c r="AK29" s="42" t="str"/>
      <x:c r="AL29" s="42" t="str"/>
      <x:c r="AM29" s="46" t="str"/>
    </x:row>
    <x:row r="30">
      <x:c r="A30" s="41" t="str"/>
      <x:c r="B30" s="42" t="str">
        <x:v>minimal-wall-clock</x:v>
      </x:c>
      <x:c r="C30" s="43" t="str">
        <x:v>HP0024</x:v>
      </x:c>
      <x:c r="D30" s="42" t="str">
        <x:v>Minimal Wall Clock</x:v>
      </x:c>
      <x:c r="E30" s="42" t="str">
        <x:v>Minimal Wall Clock for modern everyday spaces.</x:v>
      </x:c>
      <x:c r="F30" s="42" t="str">
        <x:v>Lifestyle / Travel</x:v>
      </x:c>
      <x:c r="G30" s="42" t="str">
        <x:v>home,retail</x:v>
      </x:c>
      <x:c r="H30" s="44" t="n">
        <x:v>45.45</x:v>
      </x:c>
      <x:c r="I30" s="44" t="n">
        <x:v>93.3</x:v>
      </x:c>
      <x:c r="J30" s="42" t="str"/>
      <x:c r="K30" s="42" t="str">
        <x:v>Standard Tax</x:v>
      </x:c>
      <x:c r="L30" s="42" t="str">
        <x:v>Hearthline</x:v>
      </x:c>
      <x:c r="M30" s="42" t="str">
        <x:v>Fieldwork Goods</x:v>
      </x:c>
      <x:c r="N30" s="42" t="str">
        <x:v>SUP-4123</x:v>
      </x:c>
      <x:c r="O30" s="42" t="n">
        <x:v>1</x:v>
      </x:c>
      <x:c r="P30" s="42" t="str"/>
      <x:c r="Q30" s="42" t="str"/>
      <x:c r="R30" s="42" t="str"/>
      <x:c r="S30" s="42" t="str"/>
      <x:c r="T30" s="42" t="str"/>
      <x:c r="U30" s="42" t="str"/>
      <x:c r="V30" s="42" t="n">
        <x:v>1</x:v>
      </x:c>
      <x:c r="W30" s="45" t="n">
        <x:v>0.3</x:v>
      </x:c>
      <x:c r="X30" s="42" t="str">
        <x:v>kg</x:v>
      </x:c>
      <x:c r="Y30" s="42" t="str"/>
      <x:c r="Z30" s="42" t="str"/>
      <x:c r="AA30" s="42" t="str"/>
      <x:c r="AB30" s="42" t="str">
        <x:v>cm</x:v>
      </x:c>
      <x:c r="AC30" s="42" t="str">
        <x:v>200</x:v>
      </x:c>
      <x:c r="AD30" s="42" t="str">
        <x:v>500</x:v>
      </x:c>
      <x:c r="AE30" s="42" t="n">
        <x:v>1</x:v>
      </x:c>
      <x:c r="AF30" s="42" t="n">
        <x:v>40</x:v>
      </x:c>
      <x:c r="AG30" s="42" t="n">
        <x:v>9</x:v>
      </x:c>
      <x:c r="AH30" s="42" t="n">
        <x:v>19</x:v>
      </x:c>
      <x:c r="AI30" s="42" t="str"/>
      <x:c r="AJ30" s="42" t="str"/>
      <x:c r="AK30" s="42" t="str"/>
      <x:c r="AL30" s="42" t="str"/>
      <x:c r="AM30" s="46" t="str"/>
    </x:row>
    <x:row r="31">
      <x:c r="A31" s="41" t="str"/>
      <x:c r="B31" s="42" t="str">
        <x:v>natural-jute-rug</x:v>
      </x:c>
      <x:c r="C31" s="43" t="str">
        <x:v>HP0025</x:v>
      </x:c>
      <x:c r="D31" s="42" t="str">
        <x:v>Natural Jute Rug</x:v>
      </x:c>
      <x:c r="E31" s="42" t="str">
        <x:v>Natural Jute Rug made for practical, modern spaces.</x:v>
      </x:c>
      <x:c r="F31" s="42" t="str">
        <x:v>Office</x:v>
      </x:c>
      <x:c r="G31" s="42" t="str">
        <x:v>home,retail</x:v>
      </x:c>
      <x:c r="H31" s="44" t="n">
        <x:v>47.1</x:v>
      </x:c>
      <x:c r="I31" s="44" t="n">
        <x:v>96.4</x:v>
      </x:c>
      <x:c r="J31" s="42" t="str"/>
      <x:c r="K31" s="42" t="str">
        <x:v>Standard Tax</x:v>
      </x:c>
      <x:c r="L31" s="42" t="str">
        <x:v>North &amp; Pine</x:v>
      </x:c>
      <x:c r="M31" s="42" t="str">
        <x:v>Evergreen Wholesale</x:v>
      </x:c>
      <x:c r="N31" s="42" t="str">
        <x:v>SUP-4124</x:v>
      </x:c>
      <x:c r="O31" s="42" t="n">
        <x:v>1</x:v>
      </x:c>
      <x:c r="P31" s="42" t="str"/>
      <x:c r="Q31" s="42" t="str"/>
      <x:c r="R31" s="42" t="str"/>
      <x:c r="S31" s="42" t="str"/>
      <x:c r="T31" s="42" t="str"/>
      <x:c r="U31" s="42" t="str"/>
      <x:c r="V31" s="42" t="n">
        <x:v>1</x:v>
      </x:c>
      <x:c r="W31" s="45" t="n">
        <x:v>0.5</x:v>
      </x:c>
      <x:c r="X31" s="42" t="str">
        <x:v>kg</x:v>
      </x:c>
      <x:c r="Y31" s="42" t="str"/>
      <x:c r="Z31" s="42" t="str"/>
      <x:c r="AA31" s="42" t="str"/>
      <x:c r="AB31" s="42" t="str">
        <x:v>cm</x:v>
      </x:c>
      <x:c r="AC31" s="42" t="str">
        <x:v>200</x:v>
      </x:c>
      <x:c r="AD31" s="42" t="str">
        <x:v>500</x:v>
      </x:c>
      <x:c r="AE31" s="42" t="n">
        <x:v>1</x:v>
      </x:c>
      <x:c r="AF31" s="42" t="n">
        <x:v>47</x:v>
      </x:c>
      <x:c r="AG31" s="42" t="n">
        <x:v>10</x:v>
      </x:c>
      <x:c r="AH31" s="42" t="n">
        <x:v>12</x:v>
      </x:c>
      <x:c r="AI31" s="42" t="str"/>
      <x:c r="AJ31" s="42" t="str"/>
      <x:c r="AK31" s="42" t="str"/>
      <x:c r="AL31" s="42" t="str"/>
      <x:c r="AM31" s="46" t="str"/>
    </x:row>
    <x:row r="32">
      <x:c r="A32" s="41" t="str"/>
      <x:c r="B32" s="42" t="str">
        <x:v>terrazzo-soap-dish</x:v>
      </x:c>
      <x:c r="C32" s="43" t="str">
        <x:v>HP0026</x:v>
      </x:c>
      <x:c r="D32" s="42" t="str">
        <x:v>Terrazzo Soap Dish</x:v>
      </x:c>
      <x:c r="E32" s="42" t="str">
        <x:v>Terrazzo Soap Dish for modern everyday spaces.</x:v>
      </x:c>
      <x:c r="F32" s="42" t="str">
        <x:v>Home / Dining</x:v>
      </x:c>
      <x:c r="G32" s="42" t="str">
        <x:v>new,home,featured</x:v>
      </x:c>
      <x:c r="H32" s="44" t="n">
        <x:v>48.75</x:v>
      </x:c>
      <x:c r="I32" s="44" t="n">
        <x:v>99.5</x:v>
      </x:c>
      <x:c r="J32" s="42" t="str"/>
      <x:c r="K32" s="42" t="str">
        <x:v>Standard Tax</x:v>
      </x:c>
      <x:c r="L32" s="42" t="str">
        <x:v>Studio Vale</x:v>
      </x:c>
      <x:c r="M32" s="42" t="str">
        <x:v>Mosaic Supply Co</x:v>
      </x:c>
      <x:c r="N32" s="42" t="str">
        <x:v>SUP-4125</x:v>
      </x:c>
      <x:c r="O32" s="42" t="n">
        <x:v>1</x:v>
      </x:c>
      <x:c r="P32" s="42" t="str"/>
      <x:c r="Q32" s="42" t="str"/>
      <x:c r="R32" s="42" t="str"/>
      <x:c r="S32" s="42" t="str"/>
      <x:c r="T32" s="42" t="str"/>
      <x:c r="U32" s="42" t="str"/>
      <x:c r="V32" s="42" t="n">
        <x:v>1</x:v>
      </x:c>
      <x:c r="W32" s="45" t="n">
        <x:v>0.7</x:v>
      </x:c>
      <x:c r="X32" s="42" t="str">
        <x:v>kg</x:v>
      </x:c>
      <x:c r="Y32" s="42" t="str"/>
      <x:c r="Z32" s="42" t="str"/>
      <x:c r="AA32" s="42" t="str"/>
      <x:c r="AB32" s="42" t="str">
        <x:v>cm</x:v>
      </x:c>
      <x:c r="AC32" s="42" t="str">
        <x:v>200</x:v>
      </x:c>
      <x:c r="AD32" s="42" t="str">
        <x:v>500</x:v>
      </x:c>
      <x:c r="AE32" s="42" t="n">
        <x:v>1</x:v>
      </x:c>
      <x:c r="AF32" s="42" t="n">
        <x:v>11</x:v>
      </x:c>
      <x:c r="AG32" s="42" t="n">
        <x:v>6</x:v>
      </x:c>
      <x:c r="AH32" s="42" t="n">
        <x:v>13</x:v>
      </x:c>
      <x:c r="AI32" s="42" t="str"/>
      <x:c r="AJ32" s="42" t="str"/>
      <x:c r="AK32" s="42" t="str"/>
      <x:c r="AL32" s="42" t="str"/>
      <x:c r="AM32" s="46" t="str"/>
    </x:row>
    <x:row r="33">
      <x:c r="A33" s="41" t="str"/>
      <x:c r="B33" s="42" t="str">
        <x:v>cotton-apron</x:v>
      </x:c>
      <x:c r="C33" s="43" t="str">
        <x:v>HP0027</x:v>
      </x:c>
      <x:c r="D33" s="42" t="str">
        <x:v>Cotton Apron</x:v>
      </x:c>
      <x:c r="E33" s="42" t="str">
        <x:v>Cotton Apron for modern everyday spaces.</x:v>
      </x:c>
      <x:c r="F33" s="42" t="str">
        <x:v>Home / Decor</x:v>
      </x:c>
      <x:c r="G33" s="42" t="str">
        <x:v>home,retail</x:v>
      </x:c>
      <x:c r="H33" s="44" t="n">
        <x:v>50.4</x:v>
      </x:c>
      <x:c r="I33" s="44" t="n">
        <x:v>102.6</x:v>
      </x:c>
      <x:c r="J33" s="42" t="str"/>
      <x:c r="K33" s="42" t="str">
        <x:v>Standard Tax</x:v>
      </x:c>
      <x:c r="L33" s="42" t="str">
        <x:v>Common Form</x:v>
      </x:c>
      <x:c r="M33" s="42" t="str">
        <x:v>Fieldwork Goods</x:v>
      </x:c>
      <x:c r="N33" s="42" t="str">
        <x:v>SUP-4126</x:v>
      </x:c>
      <x:c r="O33" s="42" t="n">
        <x:v>0</x:v>
      </x:c>
      <x:c r="P33" s="42" t="str"/>
      <x:c r="Q33" s="42" t="str"/>
      <x:c r="R33" s="42" t="str"/>
      <x:c r="S33" s="42" t="str"/>
      <x:c r="T33" s="42" t="str"/>
      <x:c r="U33" s="42" t="str"/>
      <x:c r="V33" s="42" t="n">
        <x:v>0</x:v>
      </x:c>
      <x:c r="W33" s="45" t="n">
        <x:v>0.9</x:v>
      </x:c>
      <x:c r="X33" s="42" t="str">
        <x:v>kg</x:v>
      </x:c>
      <x:c r="Y33" s="42" t="str"/>
      <x:c r="Z33" s="42" t="str"/>
      <x:c r="AA33" s="42" t="str"/>
      <x:c r="AB33" s="42" t="str">
        <x:v>cm</x:v>
      </x:c>
      <x:c r="AC33" s="42" t="str">
        <x:v>200</x:v>
      </x:c>
      <x:c r="AD33" s="42" t="str">
        <x:v>500</x:v>
      </x:c>
      <x:c r="AE33" s="42" t="n">
        <x:v>1</x:v>
      </x:c>
      <x:c r="AF33" s="42" t="n">
        <x:v>18</x:v>
      </x:c>
      <x:c r="AG33" s="42" t="n">
        <x:v>7</x:v>
      </x:c>
      <x:c r="AH33" s="42" t="n">
        <x:v>14</x:v>
      </x:c>
      <x:c r="AI33" s="42" t="str"/>
      <x:c r="AJ33" s="42" t="str"/>
      <x:c r="AK33" s="42" t="str"/>
      <x:c r="AL33" s="42" t="str"/>
      <x:c r="AM33" s="46" t="str"/>
    </x:row>
    <x:row r="34">
      <x:c r="A34" s="41" t="str"/>
      <x:c r="B34" s="42" t="str">
        <x:v>portable-table-lamp</x:v>
      </x:c>
      <x:c r="C34" s="43" t="str">
        <x:v>HP0028</x:v>
      </x:c>
      <x:c r="D34" s="42" t="str">
        <x:v>Portable Table Lamp</x:v>
      </x:c>
      <x:c r="E34" s="42" t="str">
        <x:v>Portable Table Lamp for modern everyday spaces.</x:v>
      </x:c>
      <x:c r="F34" s="42" t="str">
        <x:v>Home / Bath</x:v>
      </x:c>
      <x:c r="G34" s="42" t="str">
        <x:v>home,retail</x:v>
      </x:c>
      <x:c r="H34" s="44" t="n">
        <x:v>52.05</x:v>
      </x:c>
      <x:c r="I34" s="44" t="n">
        <x:v>117.11</x:v>
      </x:c>
      <x:c r="J34" s="42" t="str"/>
      <x:c r="K34" s="42" t="str">
        <x:v>Standard Tax</x:v>
      </x:c>
      <x:c r="L34" s="42" t="str">
        <x:v>Hearthline</x:v>
      </x:c>
      <x:c r="M34" s="42" t="str">
        <x:v>Evergreen Wholesale</x:v>
      </x:c>
      <x:c r="N34" s="42" t="str">
        <x:v>SUP-4127</x:v>
      </x:c>
      <x:c r="O34" s="42" t="n">
        <x:v>1</x:v>
      </x:c>
      <x:c r="P34" s="42" t="str"/>
      <x:c r="Q34" s="42" t="str"/>
      <x:c r="R34" s="42" t="str"/>
      <x:c r="S34" s="42" t="str"/>
      <x:c r="T34" s="42" t="str"/>
      <x:c r="U34" s="42" t="str"/>
      <x:c r="V34" s="42" t="n">
        <x:v>1</x:v>
      </x:c>
      <x:c r="W34" s="45" t="n">
        <x:v>1.1</x:v>
      </x:c>
      <x:c r="X34" s="42" t="str">
        <x:v>kg</x:v>
      </x:c>
      <x:c r="Y34" s="42" t="str"/>
      <x:c r="Z34" s="42" t="str"/>
      <x:c r="AA34" s="42" t="str"/>
      <x:c r="AB34" s="42" t="str">
        <x:v>cm</x:v>
      </x:c>
      <x:c r="AC34" s="42" t="str">
        <x:v>200</x:v>
      </x:c>
      <x:c r="AD34" s="42" t="str">
        <x:v>500</x:v>
      </x:c>
      <x:c r="AE34" s="42" t="n">
        <x:v>1</x:v>
      </x:c>
      <x:c r="AF34" s="42" t="n">
        <x:v>25</x:v>
      </x:c>
      <x:c r="AG34" s="42" t="n">
        <x:v>8</x:v>
      </x:c>
      <x:c r="AH34" s="42" t="n">
        <x:v>15</x:v>
      </x:c>
      <x:c r="AI34" s="42" t="str"/>
      <x:c r="AJ34" s="42" t="str"/>
      <x:c r="AK34" s="42" t="str"/>
      <x:c r="AL34" s="42" t="str"/>
      <x:c r="AM34" s="46" t="str"/>
    </x:row>
    <x:row r="35">
      <x:c r="A35" s="41" t="str"/>
      <x:c r="B35" s="42" t="str">
        <x:v>notebook-gift-set</x:v>
      </x:c>
      <x:c r="C35" s="43" t="str">
        <x:v>HP0029</x:v>
      </x:c>
      <x:c r="D35" s="42" t="str">
        <x:v>NOTEBOOK GIFT SET</x:v>
      </x:c>
      <x:c r="E35" s="42" t="str">
        <x:v>Notebook Gift Set for modern everyday spaces.</x:v>
      </x:c>
      <x:c r="F35" s="42" t="str">
        <x:v>Lifestyle / Travel</x:v>
      </x:c>
      <x:c r="G35" s="42" t="str">
        <x:v>home,retail</x:v>
      </x:c>
      <x:c r="H35" s="44" t="n">
        <x:v>53.7</x:v>
      </x:c>
      <x:c r="I35" s="44" t="n">
        <x:v>108.8</x:v>
      </x:c>
      <x:c r="J35" s="42" t="str"/>
      <x:c r="K35" s="42" t="str">
        <x:v>Standard Tax</x:v>
      </x:c>
      <x:c r="L35" s="42" t="str">
        <x:v>North &amp; Pine</x:v>
      </x:c>
      <x:c r="M35" s="42" t="str">
        <x:v>Mosaic Supply Co</x:v>
      </x:c>
      <x:c r="N35" s="42" t="str">
        <x:v>SUP-4128</x:v>
      </x:c>
      <x:c r="O35" s="42" t="n">
        <x:v>1</x:v>
      </x:c>
      <x:c r="P35" s="42" t="str"/>
      <x:c r="Q35" s="42" t="str"/>
      <x:c r="R35" s="42" t="str"/>
      <x:c r="S35" s="42" t="str"/>
      <x:c r="T35" s="42" t="str"/>
      <x:c r="U35" s="42" t="str"/>
      <x:c r="V35" s="42" t="n">
        <x:v>1</x:v>
      </x:c>
      <x:c r="W35" s="45" t="n">
        <x:v>0.3</x:v>
      </x:c>
      <x:c r="X35" s="42" t="str">
        <x:v>kg</x:v>
      </x:c>
      <x:c r="Y35" s="42" t="str"/>
      <x:c r="Z35" s="42" t="str"/>
      <x:c r="AA35" s="42" t="str"/>
      <x:c r="AB35" s="42" t="str">
        <x:v>cm</x:v>
      </x:c>
      <x:c r="AC35" s="42" t="str">
        <x:v>200</x:v>
      </x:c>
      <x:c r="AD35" s="42" t="str">
        <x:v>500</x:v>
      </x:c>
      <x:c r="AE35" s="42" t="n">
        <x:v>1</x:v>
      </x:c>
      <x:c r="AF35" s="42" t="n">
        <x:v>32</x:v>
      </x:c>
      <x:c r="AG35" s="42" t="n">
        <x:v>9</x:v>
      </x:c>
      <x:c r="AH35" s="42" t="n">
        <x:v>16</x:v>
      </x:c>
      <x:c r="AI35" s="42" t="str"/>
      <x:c r="AJ35" s="42" t="str"/>
      <x:c r="AK35" s="42" t="str"/>
      <x:c r="AL35" s="42" t="str"/>
      <x:c r="AM35" s="46" t="str"/>
    </x:row>
    <x:row r="36">
      <x:c r="A36" s="41" t="str"/>
      <x:c r="B36" s="42" t="str">
        <x:v>insulated-water-bottle</x:v>
      </x:c>
      <x:c r="C36" s="43" t="str">
        <x:v>HP0030</x:v>
      </x:c>
      <x:c r="D36" s="42" t="str">
        <x:v>Insulated Water Bottle</x:v>
      </x:c>
      <x:c r="E36" s="42" t="str">
        <x:v>Insulated Water Bottle for modern everyday spaces.</x:v>
      </x:c>
      <x:c r="F36" s="42" t="str">
        <x:v>Office</x:v>
      </x:c>
      <x:c r="G36" s="42" t="str">
        <x:v>home,retail</x:v>
      </x:c>
      <x:c r="H36" s="44" t="n">
        <x:v>55.35</x:v>
      </x:c>
      <x:c r="I36" s="44" t="n">
        <x:v>111.9</x:v>
      </x:c>
      <x:c r="J36" s="42" t="str"/>
      <x:c r="K36" s="42" t="str">
        <x:v>Standard Tax</x:v>
      </x:c>
      <x:c r="L36" s="42" t="str">
        <x:v>Studio Vale</x:v>
      </x:c>
      <x:c r="M36" s="42" t="str">
        <x:v>Fieldwork Goods</x:v>
      </x:c>
      <x:c r="N36" s="42" t="str">
        <x:v>SUP-4129</x:v>
      </x:c>
      <x:c r="O36" s="42" t="n">
        <x:v>1</x:v>
      </x:c>
      <x:c r="P36" s="42" t="str"/>
      <x:c r="Q36" s="42" t="str"/>
      <x:c r="R36" s="42" t="str"/>
      <x:c r="S36" s="42" t="str"/>
      <x:c r="T36" s="42" t="str"/>
      <x:c r="U36" s="42" t="str"/>
      <x:c r="V36" s="42" t="n">
        <x:v>1</x:v>
      </x:c>
      <x:c r="W36" s="45" t="n">
        <x:v>0.5</x:v>
      </x:c>
      <x:c r="X36" s="42" t="str">
        <x:v>kg</x:v>
      </x:c>
      <x:c r="Y36" s="42" t="str"/>
      <x:c r="Z36" s="42" t="str"/>
      <x:c r="AA36" s="42" t="str"/>
      <x:c r="AB36" s="42" t="str">
        <x:v>cm</x:v>
      </x:c>
      <x:c r="AC36" s="42" t="str">
        <x:v>200</x:v>
      </x:c>
      <x:c r="AD36" s="42" t="str">
        <x:v>500</x:v>
      </x:c>
      <x:c r="AE36" s="42" t="n">
        <x:v>1</x:v>
      </x:c>
      <x:c r="AF36" s="42" t="n">
        <x:v>39</x:v>
      </x:c>
      <x:c r="AG36" s="42" t="n">
        <x:v>10</x:v>
      </x:c>
      <x:c r="AH36" s="42" t="n">
        <x:v>17</x:v>
      </x:c>
      <x:c r="AI36" s="42" t="str"/>
      <x:c r="AJ36" s="42" t="str"/>
      <x:c r="AK36" s="42" t="str"/>
      <x:c r="AL36" s="42" t="str"/>
      <x:c r="AM36" s="46" t="str"/>
    </x:row>
    <x:row r="37">
      <x:c r="A37" s="47"/>
      <x:c r="B37" s="48"/>
      <x:c r="C37" s="49"/>
      <x:c r="D37" s="48"/>
      <x:c r="E37" s="48"/>
      <x:c r="F37" s="48"/>
      <x:c r="G37" s="48"/>
      <x:c r="H37" s="50"/>
      <x:c r="I37" s="50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51"/>
      <x:c r="X37" s="48"/>
      <x:c r="Y37" s="48"/>
      <x:c r="Z37" s="48"/>
      <x:c r="AA37" s="48"/>
      <x:c r="AB37" s="48"/>
      <x:c r="AC37" s="48"/>
      <x:c r="AD37" s="48"/>
      <x:c r="AE37" s="48"/>
      <x:c r="AF37" s="48"/>
      <x:c r="AG37" s="48"/>
      <x:c r="AH37" s="48"/>
      <x:c r="AI37" s="48"/>
      <x:c r="AJ37" s="48"/>
      <x:c r="AK37" s="48"/>
      <x:c r="AL37" s="48"/>
      <x:c r="AM37" s="52"/>
    </x:row>
    <x:row r="38">
      <x:c r="A38" s="47"/>
      <x:c r="B38" s="48"/>
      <x:c r="C38" s="49"/>
      <x:c r="D38" s="48"/>
      <x:c r="E38" s="48"/>
      <x:c r="F38" s="48"/>
      <x:c r="G38" s="48"/>
      <x:c r="H38" s="50"/>
      <x:c r="I38" s="50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51"/>
      <x:c r="X38" s="48"/>
      <x:c r="Y38" s="48"/>
      <x:c r="Z38" s="48"/>
      <x:c r="AA38" s="48"/>
      <x:c r="AB38" s="48"/>
      <x:c r="AC38" s="48"/>
      <x:c r="AD38" s="48"/>
      <x:c r="AE38" s="48"/>
      <x:c r="AF38" s="48"/>
      <x:c r="AG38" s="48"/>
      <x:c r="AH38" s="48"/>
      <x:c r="AI38" s="48"/>
      <x:c r="AJ38" s="48"/>
      <x:c r="AK38" s="48"/>
      <x:c r="AL38" s="48"/>
      <x:c r="AM38" s="52"/>
    </x:row>
    <x:row r="39">
      <x:c r="A39" s="47"/>
      <x:c r="B39" s="48"/>
      <x:c r="C39" s="49"/>
      <x:c r="D39" s="48"/>
      <x:c r="E39" s="48"/>
      <x:c r="F39" s="48"/>
      <x:c r="G39" s="48"/>
      <x:c r="H39" s="50"/>
      <x:c r="I39" s="50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51"/>
      <x:c r="X39" s="48"/>
      <x:c r="Y39" s="48"/>
      <x:c r="Z39" s="48"/>
      <x:c r="AA39" s="48"/>
      <x:c r="AB39" s="48"/>
      <x:c r="AC39" s="48"/>
      <x:c r="AD39" s="48"/>
      <x:c r="AE39" s="48"/>
      <x:c r="AF39" s="48"/>
      <x:c r="AG39" s="48"/>
      <x:c r="AH39" s="48"/>
      <x:c r="AI39" s="48"/>
      <x:c r="AJ39" s="48"/>
      <x:c r="AK39" s="48"/>
      <x:c r="AL39" s="48"/>
      <x:c r="AM39" s="52"/>
    </x:row>
    <x:row r="40">
      <x:c r="A40" s="47"/>
      <x:c r="B40" s="48"/>
      <x:c r="C40" s="49"/>
      <x:c r="D40" s="48"/>
      <x:c r="E40" s="48"/>
      <x:c r="F40" s="48"/>
      <x:c r="G40" s="48"/>
      <x:c r="H40" s="50"/>
      <x:c r="I40" s="50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51"/>
      <x:c r="X40" s="48"/>
      <x:c r="Y40" s="48"/>
      <x:c r="Z40" s="48"/>
      <x:c r="AA40" s="48"/>
      <x:c r="AB40" s="48"/>
      <x:c r="AC40" s="48"/>
      <x:c r="AD40" s="48"/>
      <x:c r="AE40" s="48"/>
      <x:c r="AF40" s="48"/>
      <x:c r="AG40" s="48"/>
      <x:c r="AH40" s="48"/>
      <x:c r="AI40" s="48"/>
      <x:c r="AJ40" s="48"/>
      <x:c r="AK40" s="48"/>
      <x:c r="AL40" s="48"/>
      <x:c r="AM40" s="52"/>
    </x:row>
    <x:row r="41">
      <x:c r="A41" s="47"/>
      <x:c r="B41" s="48"/>
      <x:c r="C41" s="49"/>
      <x:c r="D41" s="48"/>
      <x:c r="E41" s="48"/>
      <x:c r="F41" s="48"/>
      <x:c r="G41" s="48"/>
      <x:c r="H41" s="50"/>
      <x:c r="I41" s="50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51"/>
      <x:c r="X41" s="48"/>
      <x:c r="Y41" s="48"/>
      <x:c r="Z41" s="48"/>
      <x:c r="AA41" s="48"/>
      <x:c r="AB41" s="48"/>
      <x:c r="AC41" s="48"/>
      <x:c r="AD41" s="48"/>
      <x:c r="AE41" s="48"/>
      <x:c r="AF41" s="48"/>
      <x:c r="AG41" s="48"/>
      <x:c r="AH41" s="48"/>
      <x:c r="AI41" s="48"/>
      <x:c r="AJ41" s="48"/>
      <x:c r="AK41" s="48"/>
      <x:c r="AL41" s="48"/>
      <x:c r="AM41" s="52"/>
    </x:row>
    <x:row r="42">
      <x:c r="A42" s="47"/>
      <x:c r="B42" s="48"/>
      <x:c r="C42" s="49"/>
      <x:c r="D42" s="48"/>
      <x:c r="E42" s="48"/>
      <x:c r="F42" s="48"/>
      <x:c r="G42" s="48"/>
      <x:c r="H42" s="50"/>
      <x:c r="I42" s="50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51"/>
      <x:c r="X42" s="48"/>
      <x:c r="Y42" s="48"/>
      <x:c r="Z42" s="48"/>
      <x:c r="AA42" s="48"/>
      <x:c r="AB42" s="48"/>
      <x:c r="AC42" s="48"/>
      <x:c r="AD42" s="48"/>
      <x:c r="AE42" s="48"/>
      <x:c r="AF42" s="48"/>
      <x:c r="AG42" s="48"/>
      <x:c r="AH42" s="48"/>
      <x:c r="AI42" s="48"/>
      <x:c r="AJ42" s="48"/>
      <x:c r="AK42" s="48"/>
      <x:c r="AL42" s="48"/>
      <x:c r="AM42" s="52"/>
    </x:row>
    <x:row r="43">
      <x:c r="A43" s="47"/>
      <x:c r="B43" s="48"/>
      <x:c r="C43" s="49"/>
      <x:c r="D43" s="48"/>
      <x:c r="E43" s="48"/>
      <x:c r="F43" s="48"/>
      <x:c r="G43" s="48"/>
      <x:c r="H43" s="50"/>
      <x:c r="I43" s="50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51"/>
      <x:c r="X43" s="48"/>
      <x:c r="Y43" s="48"/>
      <x:c r="Z43" s="48"/>
      <x:c r="AA43" s="48"/>
      <x:c r="AB43" s="48"/>
      <x:c r="AC43" s="48"/>
      <x:c r="AD43" s="48"/>
      <x:c r="AE43" s="48"/>
      <x:c r="AF43" s="48"/>
      <x:c r="AG43" s="48"/>
      <x:c r="AH43" s="48"/>
      <x:c r="AI43" s="48"/>
      <x:c r="AJ43" s="48"/>
      <x:c r="AK43" s="48"/>
      <x:c r="AL43" s="48"/>
      <x:c r="AM43" s="52"/>
    </x:row>
    <x:row r="44">
      <x:c r="A44" s="47"/>
      <x:c r="B44" s="48"/>
      <x:c r="C44" s="49"/>
      <x:c r="D44" s="48"/>
      <x:c r="E44" s="48"/>
      <x:c r="F44" s="48"/>
      <x:c r="G44" s="48"/>
      <x:c r="H44" s="50"/>
      <x:c r="I44" s="50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51"/>
      <x:c r="X44" s="48"/>
      <x:c r="Y44" s="48"/>
      <x:c r="Z44" s="48"/>
      <x:c r="AA44" s="48"/>
      <x:c r="AB44" s="48"/>
      <x:c r="AC44" s="48"/>
      <x:c r="AD44" s="48"/>
      <x:c r="AE44" s="48"/>
      <x:c r="AF44" s="48"/>
      <x:c r="AG44" s="48"/>
      <x:c r="AH44" s="48"/>
      <x:c r="AI44" s="48"/>
      <x:c r="AJ44" s="48"/>
      <x:c r="AK44" s="48"/>
      <x:c r="AL44" s="48"/>
      <x:c r="AM44" s="52"/>
    </x:row>
    <x:row r="45">
      <x:c r="A45" s="47"/>
      <x:c r="B45" s="48"/>
      <x:c r="C45" s="49"/>
      <x:c r="D45" s="48"/>
      <x:c r="E45" s="48"/>
      <x:c r="F45" s="48"/>
      <x:c r="G45" s="48"/>
      <x:c r="H45" s="50"/>
      <x:c r="I45" s="50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51"/>
      <x:c r="X45" s="48"/>
      <x:c r="Y45" s="48"/>
      <x:c r="Z45" s="48"/>
      <x:c r="AA45" s="48"/>
      <x:c r="AB45" s="48"/>
      <x:c r="AC45" s="48"/>
      <x:c r="AD45" s="48"/>
      <x:c r="AE45" s="48"/>
      <x:c r="AF45" s="48"/>
      <x:c r="AG45" s="48"/>
      <x:c r="AH45" s="48"/>
      <x:c r="AI45" s="48"/>
      <x:c r="AJ45" s="48"/>
      <x:c r="AK45" s="48"/>
      <x:c r="AL45" s="48"/>
      <x:c r="AM45" s="52"/>
    </x:row>
    <x:row r="46">
      <x:c r="A46" s="47"/>
      <x:c r="B46" s="48"/>
      <x:c r="C46" s="49"/>
      <x:c r="D46" s="48"/>
      <x:c r="E46" s="48"/>
      <x:c r="F46" s="48"/>
      <x:c r="G46" s="48"/>
      <x:c r="H46" s="50"/>
      <x:c r="I46" s="50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51"/>
      <x:c r="X46" s="48"/>
      <x:c r="Y46" s="48"/>
      <x:c r="Z46" s="48"/>
      <x:c r="AA46" s="48"/>
      <x:c r="AB46" s="48"/>
      <x:c r="AC46" s="48"/>
      <x:c r="AD46" s="48"/>
      <x:c r="AE46" s="48"/>
      <x:c r="AF46" s="48"/>
      <x:c r="AG46" s="48"/>
      <x:c r="AH46" s="48"/>
      <x:c r="AI46" s="48"/>
      <x:c r="AJ46" s="48"/>
      <x:c r="AK46" s="48"/>
      <x:c r="AL46" s="48"/>
      <x:c r="AM46" s="52"/>
    </x:row>
    <x:row r="47">
      <x:c r="A47" s="47"/>
      <x:c r="B47" s="48"/>
      <x:c r="C47" s="49"/>
      <x:c r="D47" s="48"/>
      <x:c r="E47" s="48"/>
      <x:c r="F47" s="48"/>
      <x:c r="G47" s="48"/>
      <x:c r="H47" s="50"/>
      <x:c r="I47" s="50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51"/>
      <x:c r="X47" s="48"/>
      <x:c r="Y47" s="48"/>
      <x:c r="Z47" s="48"/>
      <x:c r="AA47" s="48"/>
      <x:c r="AB47" s="48"/>
      <x:c r="AC47" s="48"/>
      <x:c r="AD47" s="48"/>
      <x:c r="AE47" s="48"/>
      <x:c r="AF47" s="48"/>
      <x:c r="AG47" s="48"/>
      <x:c r="AH47" s="48"/>
      <x:c r="AI47" s="48"/>
      <x:c r="AJ47" s="48"/>
      <x:c r="AK47" s="48"/>
      <x:c r="AL47" s="48"/>
      <x:c r="AM47" s="52"/>
    </x:row>
    <x:row r="48">
      <x:c r="A48" s="47"/>
      <x:c r="B48" s="48"/>
      <x:c r="C48" s="49"/>
      <x:c r="D48" s="48"/>
      <x:c r="E48" s="48"/>
      <x:c r="F48" s="48"/>
      <x:c r="G48" s="48"/>
      <x:c r="H48" s="50"/>
      <x:c r="I48" s="50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51"/>
      <x:c r="X48" s="48"/>
      <x:c r="Y48" s="48"/>
      <x:c r="Z48" s="48"/>
      <x:c r="AA48" s="48"/>
      <x:c r="AB48" s="48"/>
      <x:c r="AC48" s="48"/>
      <x:c r="AD48" s="48"/>
      <x:c r="AE48" s="48"/>
      <x:c r="AF48" s="48"/>
      <x:c r="AG48" s="48"/>
      <x:c r="AH48" s="48"/>
      <x:c r="AI48" s="48"/>
      <x:c r="AJ48" s="48"/>
      <x:c r="AK48" s="48"/>
      <x:c r="AL48" s="48"/>
      <x:c r="AM48" s="52"/>
    </x:row>
    <x:row r="49">
      <x:c r="A49" s="47"/>
      <x:c r="B49" s="48"/>
      <x:c r="C49" s="49"/>
      <x:c r="D49" s="48"/>
      <x:c r="E49" s="48"/>
      <x:c r="F49" s="48"/>
      <x:c r="G49" s="48"/>
      <x:c r="H49" s="50"/>
      <x:c r="I49" s="50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51"/>
      <x:c r="X49" s="48"/>
      <x:c r="Y49" s="48"/>
      <x:c r="Z49" s="48"/>
      <x:c r="AA49" s="48"/>
      <x:c r="AB49" s="48"/>
      <x:c r="AC49" s="48"/>
      <x:c r="AD49" s="48"/>
      <x:c r="AE49" s="48"/>
      <x:c r="AF49" s="48"/>
      <x:c r="AG49" s="48"/>
      <x:c r="AH49" s="48"/>
      <x:c r="AI49" s="48"/>
      <x:c r="AJ49" s="48"/>
      <x:c r="AK49" s="48"/>
      <x:c r="AL49" s="48"/>
      <x:c r="AM49" s="52"/>
    </x:row>
    <x:row r="50">
      <x:c r="A50" s="47"/>
      <x:c r="B50" s="48"/>
      <x:c r="C50" s="49"/>
      <x:c r="D50" s="48"/>
      <x:c r="E50" s="48"/>
      <x:c r="F50" s="48"/>
      <x:c r="G50" s="48"/>
      <x:c r="H50" s="50"/>
      <x:c r="I50" s="50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51"/>
      <x:c r="X50" s="48"/>
      <x:c r="Y50" s="48"/>
      <x:c r="Z50" s="48"/>
      <x:c r="AA50" s="48"/>
      <x:c r="AB50" s="48"/>
      <x:c r="AC50" s="48"/>
      <x:c r="AD50" s="48"/>
      <x:c r="AE50" s="48"/>
      <x:c r="AF50" s="48"/>
      <x:c r="AG50" s="48"/>
      <x:c r="AH50" s="48"/>
      <x:c r="AI50" s="48"/>
      <x:c r="AJ50" s="48"/>
      <x:c r="AK50" s="48"/>
      <x:c r="AL50" s="48"/>
      <x:c r="AM50" s="52"/>
    </x:row>
    <x:row r="51">
      <x:c r="A51" s="47"/>
      <x:c r="B51" s="48"/>
      <x:c r="C51" s="49"/>
      <x:c r="D51" s="48"/>
      <x:c r="E51" s="48"/>
      <x:c r="F51" s="48"/>
      <x:c r="G51" s="48"/>
      <x:c r="H51" s="50"/>
      <x:c r="I51" s="50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51"/>
      <x:c r="X51" s="48"/>
      <x:c r="Y51" s="48"/>
      <x:c r="Z51" s="48"/>
      <x:c r="AA51" s="48"/>
      <x:c r="AB51" s="48"/>
      <x:c r="AC51" s="48"/>
      <x:c r="AD51" s="48"/>
      <x:c r="AE51" s="48"/>
      <x:c r="AF51" s="48"/>
      <x:c r="AG51" s="48"/>
      <x:c r="AH51" s="48"/>
      <x:c r="AI51" s="48"/>
      <x:c r="AJ51" s="48"/>
      <x:c r="AK51" s="48"/>
      <x:c r="AL51" s="48"/>
      <x:c r="AM51" s="52"/>
    </x:row>
    <x:row r="52">
      <x:c r="A52" s="47"/>
      <x:c r="B52" s="48"/>
      <x:c r="C52" s="49"/>
      <x:c r="D52" s="48"/>
      <x:c r="E52" s="48"/>
      <x:c r="F52" s="48"/>
      <x:c r="G52" s="48"/>
      <x:c r="H52" s="50"/>
      <x:c r="I52" s="50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51"/>
      <x:c r="X52" s="48"/>
      <x:c r="Y52" s="48"/>
      <x:c r="Z52" s="48"/>
      <x:c r="AA52" s="48"/>
      <x:c r="AB52" s="48"/>
      <x:c r="AC52" s="48"/>
      <x:c r="AD52" s="48"/>
      <x:c r="AE52" s="48"/>
      <x:c r="AF52" s="48"/>
      <x:c r="AG52" s="48"/>
      <x:c r="AH52" s="48"/>
      <x:c r="AI52" s="48"/>
      <x:c r="AJ52" s="48"/>
      <x:c r="AK52" s="48"/>
      <x:c r="AL52" s="48"/>
      <x:c r="AM52" s="52"/>
    </x:row>
    <x:row r="53">
      <x:c r="A53" s="47"/>
      <x:c r="B53" s="48"/>
      <x:c r="C53" s="49"/>
      <x:c r="D53" s="48"/>
      <x:c r="E53" s="48"/>
      <x:c r="F53" s="48"/>
      <x:c r="G53" s="48"/>
      <x:c r="H53" s="50"/>
      <x:c r="I53" s="50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51"/>
      <x:c r="X53" s="48"/>
      <x:c r="Y53" s="48"/>
      <x:c r="Z53" s="48"/>
      <x:c r="AA53" s="48"/>
      <x:c r="AB53" s="48"/>
      <x:c r="AC53" s="48"/>
      <x:c r="AD53" s="48"/>
      <x:c r="AE53" s="48"/>
      <x:c r="AF53" s="48"/>
      <x:c r="AG53" s="48"/>
      <x:c r="AH53" s="48"/>
      <x:c r="AI53" s="48"/>
      <x:c r="AJ53" s="48"/>
      <x:c r="AK53" s="48"/>
      <x:c r="AL53" s="48"/>
      <x:c r="AM53" s="52"/>
    </x:row>
    <x:row r="54">
      <x:c r="A54" s="47"/>
      <x:c r="B54" s="48"/>
      <x:c r="C54" s="49"/>
      <x:c r="D54" s="48"/>
      <x:c r="E54" s="48"/>
      <x:c r="F54" s="48"/>
      <x:c r="G54" s="48"/>
      <x:c r="H54" s="50"/>
      <x:c r="I54" s="50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51"/>
      <x:c r="X54" s="48"/>
      <x:c r="Y54" s="48"/>
      <x:c r="Z54" s="48"/>
      <x:c r="AA54" s="48"/>
      <x:c r="AB54" s="48"/>
      <x:c r="AC54" s="48"/>
      <x:c r="AD54" s="48"/>
      <x:c r="AE54" s="48"/>
      <x:c r="AF54" s="48"/>
      <x:c r="AG54" s="48"/>
      <x:c r="AH54" s="48"/>
      <x:c r="AI54" s="48"/>
      <x:c r="AJ54" s="48"/>
      <x:c r="AK54" s="48"/>
      <x:c r="AL54" s="48"/>
      <x:c r="AM54" s="52"/>
    </x:row>
    <x:row r="55">
      <x:c r="A55" s="47"/>
      <x:c r="B55" s="48"/>
      <x:c r="C55" s="49"/>
      <x:c r="D55" s="48"/>
      <x:c r="E55" s="48"/>
      <x:c r="F55" s="48"/>
      <x:c r="G55" s="48"/>
      <x:c r="H55" s="50"/>
      <x:c r="I55" s="50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51"/>
      <x:c r="X55" s="48"/>
      <x:c r="Y55" s="48"/>
      <x:c r="Z55" s="48"/>
      <x:c r="AA55" s="48"/>
      <x:c r="AB55" s="48"/>
      <x:c r="AC55" s="48"/>
      <x:c r="AD55" s="48"/>
      <x:c r="AE55" s="48"/>
      <x:c r="AF55" s="48"/>
      <x:c r="AG55" s="48"/>
      <x:c r="AH55" s="48"/>
      <x:c r="AI55" s="48"/>
      <x:c r="AJ55" s="48"/>
      <x:c r="AK55" s="48"/>
      <x:c r="AL55" s="48"/>
      <x:c r="AM55" s="52"/>
    </x:row>
    <x:row r="56">
      <x:c r="A56" s="47"/>
      <x:c r="B56" s="48"/>
      <x:c r="C56" s="49"/>
      <x:c r="D56" s="48"/>
      <x:c r="E56" s="48"/>
      <x:c r="F56" s="48"/>
      <x:c r="G56" s="48"/>
      <x:c r="H56" s="50"/>
      <x:c r="I56" s="50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51"/>
      <x:c r="X56" s="48"/>
      <x:c r="Y56" s="48"/>
      <x:c r="Z56" s="48"/>
      <x:c r="AA56" s="48"/>
      <x:c r="AB56" s="48"/>
      <x:c r="AC56" s="48"/>
      <x:c r="AD56" s="48"/>
      <x:c r="AE56" s="48"/>
      <x:c r="AF56" s="48"/>
      <x:c r="AG56" s="48"/>
      <x:c r="AH56" s="48"/>
      <x:c r="AI56" s="48"/>
      <x:c r="AJ56" s="48"/>
      <x:c r="AK56" s="48"/>
      <x:c r="AL56" s="48"/>
      <x:c r="AM56" s="52"/>
    </x:row>
    <x:row r="57">
      <x:c r="A57" s="47"/>
      <x:c r="B57" s="48"/>
      <x:c r="C57" s="49"/>
      <x:c r="D57" s="48"/>
      <x:c r="E57" s="48"/>
      <x:c r="F57" s="48"/>
      <x:c r="G57" s="48"/>
      <x:c r="H57" s="50"/>
      <x:c r="I57" s="50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51"/>
      <x:c r="X57" s="48"/>
      <x:c r="Y57" s="48"/>
      <x:c r="Z57" s="48"/>
      <x:c r="AA57" s="48"/>
      <x:c r="AB57" s="48"/>
      <x:c r="AC57" s="48"/>
      <x:c r="AD57" s="48"/>
      <x:c r="AE57" s="48"/>
      <x:c r="AF57" s="48"/>
      <x:c r="AG57" s="48"/>
      <x:c r="AH57" s="48"/>
      <x:c r="AI57" s="48"/>
      <x:c r="AJ57" s="48"/>
      <x:c r="AK57" s="48"/>
      <x:c r="AL57" s="48"/>
      <x:c r="AM57" s="52"/>
    </x:row>
    <x:row r="58">
      <x:c r="A58" s="47"/>
      <x:c r="B58" s="48"/>
      <x:c r="C58" s="49"/>
      <x:c r="D58" s="48"/>
      <x:c r="E58" s="48"/>
      <x:c r="F58" s="48"/>
      <x:c r="G58" s="48"/>
      <x:c r="H58" s="50"/>
      <x:c r="I58" s="50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51"/>
      <x:c r="X58" s="48"/>
      <x:c r="Y58" s="48"/>
      <x:c r="Z58" s="48"/>
      <x:c r="AA58" s="48"/>
      <x:c r="AB58" s="48"/>
      <x:c r="AC58" s="48"/>
      <x:c r="AD58" s="48"/>
      <x:c r="AE58" s="48"/>
      <x:c r="AF58" s="48"/>
      <x:c r="AG58" s="48"/>
      <x:c r="AH58" s="48"/>
      <x:c r="AI58" s="48"/>
      <x:c r="AJ58" s="48"/>
      <x:c r="AK58" s="48"/>
      <x:c r="AL58" s="48"/>
      <x:c r="AM58" s="52"/>
    </x:row>
    <x:row r="59">
      <x:c r="A59" s="47"/>
      <x:c r="B59" s="48"/>
      <x:c r="C59" s="49"/>
      <x:c r="D59" s="48"/>
      <x:c r="E59" s="48"/>
      <x:c r="F59" s="48"/>
      <x:c r="G59" s="48"/>
      <x:c r="H59" s="50"/>
      <x:c r="I59" s="50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51"/>
      <x:c r="X59" s="48"/>
      <x:c r="Y59" s="48"/>
      <x:c r="Z59" s="48"/>
      <x:c r="AA59" s="48"/>
      <x:c r="AB59" s="48"/>
      <x:c r="AC59" s="48"/>
      <x:c r="AD59" s="48"/>
      <x:c r="AE59" s="48"/>
      <x:c r="AF59" s="48"/>
      <x:c r="AG59" s="48"/>
      <x:c r="AH59" s="48"/>
      <x:c r="AI59" s="48"/>
      <x:c r="AJ59" s="48"/>
      <x:c r="AK59" s="48"/>
      <x:c r="AL59" s="48"/>
      <x:c r="AM59" s="52"/>
    </x:row>
    <x:row r="60">
      <x:c r="A60" s="47"/>
      <x:c r="B60" s="48"/>
      <x:c r="C60" s="49"/>
      <x:c r="D60" s="48"/>
      <x:c r="E60" s="48"/>
      <x:c r="F60" s="48"/>
      <x:c r="G60" s="48"/>
      <x:c r="H60" s="50"/>
      <x:c r="I60" s="50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51"/>
      <x:c r="X60" s="48"/>
      <x:c r="Y60" s="48"/>
      <x:c r="Z60" s="48"/>
      <x:c r="AA60" s="48"/>
      <x:c r="AB60" s="48"/>
      <x:c r="AC60" s="48"/>
      <x:c r="AD60" s="48"/>
      <x:c r="AE60" s="48"/>
      <x:c r="AF60" s="48"/>
      <x:c r="AG60" s="48"/>
      <x:c r="AH60" s="48"/>
      <x:c r="AI60" s="48"/>
      <x:c r="AJ60" s="48"/>
      <x:c r="AK60" s="48"/>
      <x:c r="AL60" s="48"/>
      <x:c r="AM60" s="52"/>
    </x:row>
    <x:row r="61">
      <x:c r="A61" s="47"/>
      <x:c r="B61" s="48"/>
      <x:c r="C61" s="49"/>
      <x:c r="D61" s="48"/>
      <x:c r="E61" s="48"/>
      <x:c r="F61" s="48"/>
      <x:c r="G61" s="48"/>
      <x:c r="H61" s="50"/>
      <x:c r="I61" s="50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51"/>
      <x:c r="X61" s="48"/>
      <x:c r="Y61" s="48"/>
      <x:c r="Z61" s="48"/>
      <x:c r="AA61" s="48"/>
      <x:c r="AB61" s="48"/>
      <x:c r="AC61" s="48"/>
      <x:c r="AD61" s="48"/>
      <x:c r="AE61" s="48"/>
      <x:c r="AF61" s="48"/>
      <x:c r="AG61" s="48"/>
      <x:c r="AH61" s="48"/>
      <x:c r="AI61" s="48"/>
      <x:c r="AJ61" s="48"/>
      <x:c r="AK61" s="48"/>
      <x:c r="AL61" s="48"/>
      <x:c r="AM61" s="52"/>
    </x:row>
    <x:row r="62">
      <x:c r="A62" s="47"/>
      <x:c r="B62" s="48"/>
      <x:c r="C62" s="49"/>
      <x:c r="D62" s="48"/>
      <x:c r="E62" s="48"/>
      <x:c r="F62" s="48"/>
      <x:c r="G62" s="48"/>
      <x:c r="H62" s="50"/>
      <x:c r="I62" s="50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51"/>
      <x:c r="X62" s="48"/>
      <x:c r="Y62" s="48"/>
      <x:c r="Z62" s="48"/>
      <x:c r="AA62" s="48"/>
      <x:c r="AB62" s="48"/>
      <x:c r="AC62" s="48"/>
      <x:c r="AD62" s="48"/>
      <x:c r="AE62" s="48"/>
      <x:c r="AF62" s="48"/>
      <x:c r="AG62" s="48"/>
      <x:c r="AH62" s="48"/>
      <x:c r="AI62" s="48"/>
      <x:c r="AJ62" s="48"/>
      <x:c r="AK62" s="48"/>
      <x:c r="AL62" s="48"/>
      <x:c r="AM62" s="52"/>
    </x:row>
    <x:row r="63">
      <x:c r="A63" s="47"/>
      <x:c r="B63" s="48"/>
      <x:c r="C63" s="49"/>
      <x:c r="D63" s="48"/>
      <x:c r="E63" s="48"/>
      <x:c r="F63" s="48"/>
      <x:c r="G63" s="48"/>
      <x:c r="H63" s="50"/>
      <x:c r="I63" s="50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51"/>
      <x:c r="X63" s="48"/>
      <x:c r="Y63" s="48"/>
      <x:c r="Z63" s="48"/>
      <x:c r="AA63" s="48"/>
      <x:c r="AB63" s="48"/>
      <x:c r="AC63" s="48"/>
      <x:c r="AD63" s="48"/>
      <x:c r="AE63" s="48"/>
      <x:c r="AF63" s="48"/>
      <x:c r="AG63" s="48"/>
      <x:c r="AH63" s="48"/>
      <x:c r="AI63" s="48"/>
      <x:c r="AJ63" s="48"/>
      <x:c r="AK63" s="48"/>
      <x:c r="AL63" s="48"/>
      <x:c r="AM63" s="52"/>
    </x:row>
    <x:row r="64">
      <x:c r="A64" s="47"/>
      <x:c r="B64" s="48"/>
      <x:c r="C64" s="49"/>
      <x:c r="D64" s="48"/>
      <x:c r="E64" s="48"/>
      <x:c r="F64" s="48"/>
      <x:c r="G64" s="48"/>
      <x:c r="H64" s="50"/>
      <x:c r="I64" s="50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51"/>
      <x:c r="X64" s="48"/>
      <x:c r="Y64" s="48"/>
      <x:c r="Z64" s="48"/>
      <x:c r="AA64" s="48"/>
      <x:c r="AB64" s="48"/>
      <x:c r="AC64" s="48"/>
      <x:c r="AD64" s="48"/>
      <x:c r="AE64" s="48"/>
      <x:c r="AF64" s="48"/>
      <x:c r="AG64" s="48"/>
      <x:c r="AH64" s="48"/>
      <x:c r="AI64" s="48"/>
      <x:c r="AJ64" s="48"/>
      <x:c r="AK64" s="48"/>
      <x:c r="AL64" s="48"/>
      <x:c r="AM64" s="52"/>
    </x:row>
    <x:row r="65">
      <x:c r="A65" s="47"/>
      <x:c r="B65" s="48"/>
      <x:c r="C65" s="49"/>
      <x:c r="D65" s="48"/>
      <x:c r="E65" s="48"/>
      <x:c r="F65" s="48"/>
      <x:c r="G65" s="48"/>
      <x:c r="H65" s="50"/>
      <x:c r="I65" s="50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51"/>
      <x:c r="X65" s="48"/>
      <x:c r="Y65" s="48"/>
      <x:c r="Z65" s="48"/>
      <x:c r="AA65" s="48"/>
      <x:c r="AB65" s="48"/>
      <x:c r="AC65" s="48"/>
      <x:c r="AD65" s="48"/>
      <x:c r="AE65" s="48"/>
      <x:c r="AF65" s="48"/>
      <x:c r="AG65" s="48"/>
      <x:c r="AH65" s="48"/>
      <x:c r="AI65" s="48"/>
      <x:c r="AJ65" s="48"/>
      <x:c r="AK65" s="48"/>
      <x:c r="AL65" s="48"/>
      <x:c r="AM65" s="52"/>
    </x:row>
    <x:row r="66">
      <x:c r="A66" s="47"/>
      <x:c r="B66" s="48"/>
      <x:c r="C66" s="49"/>
      <x:c r="D66" s="48"/>
      <x:c r="E66" s="48"/>
      <x:c r="F66" s="48"/>
      <x:c r="G66" s="48"/>
      <x:c r="H66" s="50"/>
      <x:c r="I66" s="50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51"/>
      <x:c r="X66" s="48"/>
      <x:c r="Y66" s="48"/>
      <x:c r="Z66" s="48"/>
      <x:c r="AA66" s="48"/>
      <x:c r="AB66" s="48"/>
      <x:c r="AC66" s="48"/>
      <x:c r="AD66" s="48"/>
      <x:c r="AE66" s="48"/>
      <x:c r="AF66" s="48"/>
      <x:c r="AG66" s="48"/>
      <x:c r="AH66" s="48"/>
      <x:c r="AI66" s="48"/>
      <x:c r="AJ66" s="48"/>
      <x:c r="AK66" s="48"/>
      <x:c r="AL66" s="48"/>
      <x:c r="AM66" s="52"/>
    </x:row>
    <x:row r="67">
      <x:c r="A67" s="47"/>
      <x:c r="B67" s="48"/>
      <x:c r="C67" s="49"/>
      <x:c r="D67" s="48"/>
      <x:c r="E67" s="48"/>
      <x:c r="F67" s="48"/>
      <x:c r="G67" s="48"/>
      <x:c r="H67" s="50"/>
      <x:c r="I67" s="50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51"/>
      <x:c r="X67" s="48"/>
      <x:c r="Y67" s="48"/>
      <x:c r="Z67" s="48"/>
      <x:c r="AA67" s="48"/>
      <x:c r="AB67" s="48"/>
      <x:c r="AC67" s="48"/>
      <x:c r="AD67" s="48"/>
      <x:c r="AE67" s="48"/>
      <x:c r="AF67" s="48"/>
      <x:c r="AG67" s="48"/>
      <x:c r="AH67" s="48"/>
      <x:c r="AI67" s="48"/>
      <x:c r="AJ67" s="48"/>
      <x:c r="AK67" s="48"/>
      <x:c r="AL67" s="48"/>
      <x:c r="AM67" s="52"/>
    </x:row>
    <x:row r="68">
      <x:c r="A68" s="47"/>
      <x:c r="B68" s="48"/>
      <x:c r="C68" s="49"/>
      <x:c r="D68" s="48"/>
      <x:c r="E68" s="48"/>
      <x:c r="F68" s="48"/>
      <x:c r="G68" s="48"/>
      <x:c r="H68" s="50"/>
      <x:c r="I68" s="50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51"/>
      <x:c r="X68" s="48"/>
      <x:c r="Y68" s="48"/>
      <x:c r="Z68" s="48"/>
      <x:c r="AA68" s="48"/>
      <x:c r="AB68" s="48"/>
      <x:c r="AC68" s="48"/>
      <x:c r="AD68" s="48"/>
      <x:c r="AE68" s="48"/>
      <x:c r="AF68" s="48"/>
      <x:c r="AG68" s="48"/>
      <x:c r="AH68" s="48"/>
      <x:c r="AI68" s="48"/>
      <x:c r="AJ68" s="48"/>
      <x:c r="AK68" s="48"/>
      <x:c r="AL68" s="48"/>
      <x:c r="AM68" s="52"/>
    </x:row>
    <x:row r="69">
      <x:c r="A69" s="47"/>
      <x:c r="B69" s="48"/>
      <x:c r="C69" s="49"/>
      <x:c r="D69" s="48"/>
      <x:c r="E69" s="48"/>
      <x:c r="F69" s="48"/>
      <x:c r="G69" s="48"/>
      <x:c r="H69" s="50"/>
      <x:c r="I69" s="50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51"/>
      <x:c r="X69" s="48"/>
      <x:c r="Y69" s="48"/>
      <x:c r="Z69" s="48"/>
      <x:c r="AA69" s="48"/>
      <x:c r="AB69" s="48"/>
      <x:c r="AC69" s="48"/>
      <x:c r="AD69" s="48"/>
      <x:c r="AE69" s="48"/>
      <x:c r="AF69" s="48"/>
      <x:c r="AG69" s="48"/>
      <x:c r="AH69" s="48"/>
      <x:c r="AI69" s="48"/>
      <x:c r="AJ69" s="48"/>
      <x:c r="AK69" s="48"/>
      <x:c r="AL69" s="48"/>
      <x:c r="AM69" s="52"/>
    </x:row>
    <x:row r="70">
      <x:c r="A70" s="47"/>
      <x:c r="B70" s="48"/>
      <x:c r="C70" s="49"/>
      <x:c r="D70" s="48"/>
      <x:c r="E70" s="48"/>
      <x:c r="F70" s="48"/>
      <x:c r="G70" s="48"/>
      <x:c r="H70" s="50"/>
      <x:c r="I70" s="50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51"/>
      <x:c r="X70" s="48"/>
      <x:c r="Y70" s="48"/>
      <x:c r="Z70" s="48"/>
      <x:c r="AA70" s="48"/>
      <x:c r="AB70" s="48"/>
      <x:c r="AC70" s="48"/>
      <x:c r="AD70" s="48"/>
      <x:c r="AE70" s="48"/>
      <x:c r="AF70" s="48"/>
      <x:c r="AG70" s="48"/>
      <x:c r="AH70" s="48"/>
      <x:c r="AI70" s="48"/>
      <x:c r="AJ70" s="48"/>
      <x:c r="AK70" s="48"/>
      <x:c r="AL70" s="48"/>
      <x:c r="AM70" s="52"/>
    </x:row>
    <x:row r="71">
      <x:c r="A71" s="47"/>
      <x:c r="B71" s="48"/>
      <x:c r="C71" s="49"/>
      <x:c r="D71" s="48"/>
      <x:c r="E71" s="48"/>
      <x:c r="F71" s="48"/>
      <x:c r="G71" s="48"/>
      <x:c r="H71" s="50"/>
      <x:c r="I71" s="50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51"/>
      <x:c r="X71" s="48"/>
      <x:c r="Y71" s="48"/>
      <x:c r="Z71" s="48"/>
      <x:c r="AA71" s="48"/>
      <x:c r="AB71" s="48"/>
      <x:c r="AC71" s="48"/>
      <x:c r="AD71" s="48"/>
      <x:c r="AE71" s="48"/>
      <x:c r="AF71" s="48"/>
      <x:c r="AG71" s="48"/>
      <x:c r="AH71" s="48"/>
      <x:c r="AI71" s="48"/>
      <x:c r="AJ71" s="48"/>
      <x:c r="AK71" s="48"/>
      <x:c r="AL71" s="48"/>
      <x:c r="AM71" s="52"/>
    </x:row>
    <x:row r="72">
      <x:c r="A72" s="47"/>
      <x:c r="B72" s="48"/>
      <x:c r="C72" s="49"/>
      <x:c r="D72" s="48"/>
      <x:c r="E72" s="48"/>
      <x:c r="F72" s="48"/>
      <x:c r="G72" s="48"/>
      <x:c r="H72" s="50"/>
      <x:c r="I72" s="50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51"/>
      <x:c r="X72" s="48"/>
      <x:c r="Y72" s="48"/>
      <x:c r="Z72" s="48"/>
      <x:c r="AA72" s="48"/>
      <x:c r="AB72" s="48"/>
      <x:c r="AC72" s="48"/>
      <x:c r="AD72" s="48"/>
      <x:c r="AE72" s="48"/>
      <x:c r="AF72" s="48"/>
      <x:c r="AG72" s="48"/>
      <x:c r="AH72" s="48"/>
      <x:c r="AI72" s="48"/>
      <x:c r="AJ72" s="48"/>
      <x:c r="AK72" s="48"/>
      <x:c r="AL72" s="48"/>
      <x:c r="AM72" s="52"/>
    </x:row>
    <x:row r="73">
      <x:c r="A73" s="47"/>
      <x:c r="B73" s="48"/>
      <x:c r="C73" s="49"/>
      <x:c r="D73" s="48"/>
      <x:c r="E73" s="48"/>
      <x:c r="F73" s="48"/>
      <x:c r="G73" s="48"/>
      <x:c r="H73" s="50"/>
      <x:c r="I73" s="50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51"/>
      <x:c r="X73" s="48"/>
      <x:c r="Y73" s="48"/>
      <x:c r="Z73" s="48"/>
      <x:c r="AA73" s="48"/>
      <x:c r="AB73" s="48"/>
      <x:c r="AC73" s="48"/>
      <x:c r="AD73" s="48"/>
      <x:c r="AE73" s="48"/>
      <x:c r="AF73" s="48"/>
      <x:c r="AG73" s="48"/>
      <x:c r="AH73" s="48"/>
      <x:c r="AI73" s="48"/>
      <x:c r="AJ73" s="48"/>
      <x:c r="AK73" s="48"/>
      <x:c r="AL73" s="48"/>
      <x:c r="AM73" s="52"/>
    </x:row>
    <x:row r="74">
      <x:c r="A74" s="47"/>
      <x:c r="B74" s="48"/>
      <x:c r="C74" s="49"/>
      <x:c r="D74" s="48"/>
      <x:c r="E74" s="48"/>
      <x:c r="F74" s="48"/>
      <x:c r="G74" s="48"/>
      <x:c r="H74" s="50"/>
      <x:c r="I74" s="50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51"/>
      <x:c r="X74" s="48"/>
      <x:c r="Y74" s="48"/>
      <x:c r="Z74" s="48"/>
      <x:c r="AA74" s="48"/>
      <x:c r="AB74" s="48"/>
      <x:c r="AC74" s="48"/>
      <x:c r="AD74" s="48"/>
      <x:c r="AE74" s="48"/>
      <x:c r="AF74" s="48"/>
      <x:c r="AG74" s="48"/>
      <x:c r="AH74" s="48"/>
      <x:c r="AI74" s="48"/>
      <x:c r="AJ74" s="48"/>
      <x:c r="AK74" s="48"/>
      <x:c r="AL74" s="48"/>
      <x:c r="AM74" s="52"/>
    </x:row>
    <x:row r="75">
      <x:c r="A75" s="47"/>
      <x:c r="B75" s="48"/>
      <x:c r="C75" s="49"/>
      <x:c r="D75" s="48"/>
      <x:c r="E75" s="48"/>
      <x:c r="F75" s="48"/>
      <x:c r="G75" s="48"/>
      <x:c r="H75" s="50"/>
      <x:c r="I75" s="50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51"/>
      <x:c r="X75" s="48"/>
      <x:c r="Y75" s="48"/>
      <x:c r="Z75" s="48"/>
      <x:c r="AA75" s="48"/>
      <x:c r="AB75" s="48"/>
      <x:c r="AC75" s="48"/>
      <x:c r="AD75" s="48"/>
      <x:c r="AE75" s="48"/>
      <x:c r="AF75" s="48"/>
      <x:c r="AG75" s="48"/>
      <x:c r="AH75" s="48"/>
      <x:c r="AI75" s="48"/>
      <x:c r="AJ75" s="48"/>
      <x:c r="AK75" s="48"/>
      <x:c r="AL75" s="48"/>
      <x:c r="AM75" s="52"/>
    </x:row>
    <x:row r="76">
      <x:c r="A76" s="47"/>
      <x:c r="B76" s="48"/>
      <x:c r="C76" s="49"/>
      <x:c r="D76" s="48"/>
      <x:c r="E76" s="48"/>
      <x:c r="F76" s="48"/>
      <x:c r="G76" s="48"/>
      <x:c r="H76" s="50"/>
      <x:c r="I76" s="50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51"/>
      <x:c r="X76" s="48"/>
      <x:c r="Y76" s="48"/>
      <x:c r="Z76" s="48"/>
      <x:c r="AA76" s="48"/>
      <x:c r="AB76" s="48"/>
      <x:c r="AC76" s="48"/>
      <x:c r="AD76" s="48"/>
      <x:c r="AE76" s="48"/>
      <x:c r="AF76" s="48"/>
      <x:c r="AG76" s="48"/>
      <x:c r="AH76" s="48"/>
      <x:c r="AI76" s="48"/>
      <x:c r="AJ76" s="48"/>
      <x:c r="AK76" s="48"/>
      <x:c r="AL76" s="48"/>
      <x:c r="AM76" s="52"/>
    </x:row>
    <x:row r="77">
      <x:c r="A77" s="47"/>
      <x:c r="B77" s="48"/>
      <x:c r="C77" s="49"/>
      <x:c r="D77" s="48"/>
      <x:c r="E77" s="48"/>
      <x:c r="F77" s="48"/>
      <x:c r="G77" s="48"/>
      <x:c r="H77" s="50"/>
      <x:c r="I77" s="50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51"/>
      <x:c r="X77" s="48"/>
      <x:c r="Y77" s="48"/>
      <x:c r="Z77" s="48"/>
      <x:c r="AA77" s="48"/>
      <x:c r="AB77" s="48"/>
      <x:c r="AC77" s="48"/>
      <x:c r="AD77" s="48"/>
      <x:c r="AE77" s="48"/>
      <x:c r="AF77" s="48"/>
      <x:c r="AG77" s="48"/>
      <x:c r="AH77" s="48"/>
      <x:c r="AI77" s="48"/>
      <x:c r="AJ77" s="48"/>
      <x:c r="AK77" s="48"/>
      <x:c r="AL77" s="48"/>
      <x:c r="AM77" s="52"/>
    </x:row>
    <x:row r="78">
      <x:c r="A78" s="47"/>
      <x:c r="B78" s="48"/>
      <x:c r="C78" s="49"/>
      <x:c r="D78" s="48"/>
      <x:c r="E78" s="48"/>
      <x:c r="F78" s="48"/>
      <x:c r="G78" s="48"/>
      <x:c r="H78" s="50"/>
      <x:c r="I78" s="50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51"/>
      <x:c r="X78" s="48"/>
      <x:c r="Y78" s="48"/>
      <x:c r="Z78" s="48"/>
      <x:c r="AA78" s="48"/>
      <x:c r="AB78" s="48"/>
      <x:c r="AC78" s="48"/>
      <x:c r="AD78" s="48"/>
      <x:c r="AE78" s="48"/>
      <x:c r="AF78" s="48"/>
      <x:c r="AG78" s="48"/>
      <x:c r="AH78" s="48"/>
      <x:c r="AI78" s="48"/>
      <x:c r="AJ78" s="48"/>
      <x:c r="AK78" s="48"/>
      <x:c r="AL78" s="48"/>
      <x:c r="AM78" s="52"/>
    </x:row>
    <x:row r="79">
      <x:c r="A79" s="47"/>
      <x:c r="B79" s="48"/>
      <x:c r="C79" s="49"/>
      <x:c r="D79" s="48"/>
      <x:c r="E79" s="48"/>
      <x:c r="F79" s="48"/>
      <x:c r="G79" s="48"/>
      <x:c r="H79" s="50"/>
      <x:c r="I79" s="50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51"/>
      <x:c r="X79" s="48"/>
      <x:c r="Y79" s="48"/>
      <x:c r="Z79" s="48"/>
      <x:c r="AA79" s="48"/>
      <x:c r="AB79" s="48"/>
      <x:c r="AC79" s="48"/>
      <x:c r="AD79" s="48"/>
      <x:c r="AE79" s="48"/>
      <x:c r="AF79" s="48"/>
      <x:c r="AG79" s="48"/>
      <x:c r="AH79" s="48"/>
      <x:c r="AI79" s="48"/>
      <x:c r="AJ79" s="48"/>
      <x:c r="AK79" s="48"/>
      <x:c r="AL79" s="48"/>
      <x:c r="AM79" s="52"/>
    </x:row>
    <x:row r="80">
      <x:c r="A80" s="47"/>
      <x:c r="B80" s="48"/>
      <x:c r="C80" s="49"/>
      <x:c r="D80" s="48"/>
      <x:c r="E80" s="48"/>
      <x:c r="F80" s="48"/>
      <x:c r="G80" s="48"/>
      <x:c r="H80" s="50"/>
      <x:c r="I80" s="50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51"/>
      <x:c r="X80" s="48"/>
      <x:c r="Y80" s="48"/>
      <x:c r="Z80" s="48"/>
      <x:c r="AA80" s="48"/>
      <x:c r="AB80" s="48"/>
      <x:c r="AC80" s="48"/>
      <x:c r="AD80" s="48"/>
      <x:c r="AE80" s="48"/>
      <x:c r="AF80" s="48"/>
      <x:c r="AG80" s="48"/>
      <x:c r="AH80" s="48"/>
      <x:c r="AI80" s="48"/>
      <x:c r="AJ80" s="48"/>
      <x:c r="AK80" s="48"/>
      <x:c r="AL80" s="48"/>
      <x:c r="AM80" s="52"/>
    </x:row>
    <x:row r="81">
      <x:c r="A81" s="47"/>
      <x:c r="B81" s="48"/>
      <x:c r="C81" s="49"/>
      <x:c r="D81" s="48"/>
      <x:c r="E81" s="48"/>
      <x:c r="F81" s="48"/>
      <x:c r="G81" s="48"/>
      <x:c r="H81" s="50"/>
      <x:c r="I81" s="50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51"/>
      <x:c r="X81" s="48"/>
      <x:c r="Y81" s="48"/>
      <x:c r="Z81" s="48"/>
      <x:c r="AA81" s="48"/>
      <x:c r="AB81" s="48"/>
      <x:c r="AC81" s="48"/>
      <x:c r="AD81" s="48"/>
      <x:c r="AE81" s="48"/>
      <x:c r="AF81" s="48"/>
      <x:c r="AG81" s="48"/>
      <x:c r="AH81" s="48"/>
      <x:c r="AI81" s="48"/>
      <x:c r="AJ81" s="48"/>
      <x:c r="AK81" s="48"/>
      <x:c r="AL81" s="48"/>
      <x:c r="AM81" s="52"/>
    </x:row>
    <x:row r="82">
      <x:c r="A82" s="47"/>
      <x:c r="B82" s="48"/>
      <x:c r="C82" s="49"/>
      <x:c r="D82" s="48"/>
      <x:c r="E82" s="48"/>
      <x:c r="F82" s="48"/>
      <x:c r="G82" s="48"/>
      <x:c r="H82" s="50"/>
      <x:c r="I82" s="50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51"/>
      <x:c r="X82" s="48"/>
      <x:c r="Y82" s="48"/>
      <x:c r="Z82" s="48"/>
      <x:c r="AA82" s="48"/>
      <x:c r="AB82" s="48"/>
      <x:c r="AC82" s="48"/>
      <x:c r="AD82" s="48"/>
      <x:c r="AE82" s="48"/>
      <x:c r="AF82" s="48"/>
      <x:c r="AG82" s="48"/>
      <x:c r="AH82" s="48"/>
      <x:c r="AI82" s="48"/>
      <x:c r="AJ82" s="48"/>
      <x:c r="AK82" s="48"/>
      <x:c r="AL82" s="48"/>
      <x:c r="AM82" s="52"/>
    </x:row>
    <x:row r="83">
      <x:c r="A83" s="47"/>
      <x:c r="B83" s="48"/>
      <x:c r="C83" s="49"/>
      <x:c r="D83" s="48"/>
      <x:c r="E83" s="48"/>
      <x:c r="F83" s="48"/>
      <x:c r="G83" s="48"/>
      <x:c r="H83" s="50"/>
      <x:c r="I83" s="50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51"/>
      <x:c r="X83" s="48"/>
      <x:c r="Y83" s="48"/>
      <x:c r="Z83" s="48"/>
      <x:c r="AA83" s="48"/>
      <x:c r="AB83" s="48"/>
      <x:c r="AC83" s="48"/>
      <x:c r="AD83" s="48"/>
      <x:c r="AE83" s="48"/>
      <x:c r="AF83" s="48"/>
      <x:c r="AG83" s="48"/>
      <x:c r="AH83" s="48"/>
      <x:c r="AI83" s="48"/>
      <x:c r="AJ83" s="48"/>
      <x:c r="AK83" s="48"/>
      <x:c r="AL83" s="48"/>
      <x:c r="AM83" s="52"/>
    </x:row>
    <x:row r="84">
      <x:c r="A84" s="47"/>
      <x:c r="B84" s="48"/>
      <x:c r="C84" s="49"/>
      <x:c r="D84" s="48"/>
      <x:c r="E84" s="48"/>
      <x:c r="F84" s="48"/>
      <x:c r="G84" s="48"/>
      <x:c r="H84" s="50"/>
      <x:c r="I84" s="50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51"/>
      <x:c r="X84" s="48"/>
      <x:c r="Y84" s="48"/>
      <x:c r="Z84" s="48"/>
      <x:c r="AA84" s="48"/>
      <x:c r="AB84" s="48"/>
      <x:c r="AC84" s="48"/>
      <x:c r="AD84" s="48"/>
      <x:c r="AE84" s="48"/>
      <x:c r="AF84" s="48"/>
      <x:c r="AG84" s="48"/>
      <x:c r="AH84" s="48"/>
      <x:c r="AI84" s="48"/>
      <x:c r="AJ84" s="48"/>
      <x:c r="AK84" s="48"/>
      <x:c r="AL84" s="48"/>
      <x:c r="AM84" s="52"/>
    </x:row>
    <x:row r="85">
      <x:c r="A85" s="47"/>
      <x:c r="B85" s="48"/>
      <x:c r="C85" s="49"/>
      <x:c r="D85" s="48"/>
      <x:c r="E85" s="48"/>
      <x:c r="F85" s="48"/>
      <x:c r="G85" s="48"/>
      <x:c r="H85" s="50"/>
      <x:c r="I85" s="50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51"/>
      <x:c r="X85" s="48"/>
      <x:c r="Y85" s="48"/>
      <x:c r="Z85" s="48"/>
      <x:c r="AA85" s="48"/>
      <x:c r="AB85" s="48"/>
      <x:c r="AC85" s="48"/>
      <x:c r="AD85" s="48"/>
      <x:c r="AE85" s="48"/>
      <x:c r="AF85" s="48"/>
      <x:c r="AG85" s="48"/>
      <x:c r="AH85" s="48"/>
      <x:c r="AI85" s="48"/>
      <x:c r="AJ85" s="48"/>
      <x:c r="AK85" s="48"/>
      <x:c r="AL85" s="48"/>
      <x:c r="AM85" s="52"/>
    </x:row>
    <x:row r="86">
      <x:c r="A86" s="47"/>
      <x:c r="B86" s="48"/>
      <x:c r="C86" s="49"/>
      <x:c r="D86" s="48"/>
      <x:c r="E86" s="48"/>
      <x:c r="F86" s="48"/>
      <x:c r="G86" s="48"/>
      <x:c r="H86" s="50"/>
      <x:c r="I86" s="50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51"/>
      <x:c r="X86" s="48"/>
      <x:c r="Y86" s="48"/>
      <x:c r="Z86" s="48"/>
      <x:c r="AA86" s="48"/>
      <x:c r="AB86" s="48"/>
      <x:c r="AC86" s="48"/>
      <x:c r="AD86" s="48"/>
      <x:c r="AE86" s="48"/>
      <x:c r="AF86" s="48"/>
      <x:c r="AG86" s="48"/>
      <x:c r="AH86" s="48"/>
      <x:c r="AI86" s="48"/>
      <x:c r="AJ86" s="48"/>
      <x:c r="AK86" s="48"/>
      <x:c r="AL86" s="48"/>
      <x:c r="AM86" s="52"/>
    </x:row>
    <x:row r="87">
      <x:c r="A87" s="47"/>
      <x:c r="B87" s="48"/>
      <x:c r="C87" s="49"/>
      <x:c r="D87" s="48"/>
      <x:c r="E87" s="48"/>
      <x:c r="F87" s="48"/>
      <x:c r="G87" s="48"/>
      <x:c r="H87" s="50"/>
      <x:c r="I87" s="50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51"/>
      <x:c r="X87" s="48"/>
      <x:c r="Y87" s="48"/>
      <x:c r="Z87" s="48"/>
      <x:c r="AA87" s="48"/>
      <x:c r="AB87" s="48"/>
      <x:c r="AC87" s="48"/>
      <x:c r="AD87" s="48"/>
      <x:c r="AE87" s="48"/>
      <x:c r="AF87" s="48"/>
      <x:c r="AG87" s="48"/>
      <x:c r="AH87" s="48"/>
      <x:c r="AI87" s="48"/>
      <x:c r="AJ87" s="48"/>
      <x:c r="AK87" s="48"/>
      <x:c r="AL87" s="48"/>
      <x:c r="AM87" s="52"/>
    </x:row>
    <x:row r="88">
      <x:c r="A88" s="47"/>
      <x:c r="B88" s="48"/>
      <x:c r="C88" s="49"/>
      <x:c r="D88" s="48"/>
      <x:c r="E88" s="48"/>
      <x:c r="F88" s="48"/>
      <x:c r="G88" s="48"/>
      <x:c r="H88" s="50"/>
      <x:c r="I88" s="50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51"/>
      <x:c r="X88" s="48"/>
      <x:c r="Y88" s="48"/>
      <x:c r="Z88" s="48"/>
      <x:c r="AA88" s="48"/>
      <x:c r="AB88" s="48"/>
      <x:c r="AC88" s="48"/>
      <x:c r="AD88" s="48"/>
      <x:c r="AE88" s="48"/>
      <x:c r="AF88" s="48"/>
      <x:c r="AG88" s="48"/>
      <x:c r="AH88" s="48"/>
      <x:c r="AI88" s="48"/>
      <x:c r="AJ88" s="48"/>
      <x:c r="AK88" s="48"/>
      <x:c r="AL88" s="48"/>
      <x:c r="AM88" s="52"/>
    </x:row>
    <x:row r="89">
      <x:c r="A89" s="47"/>
      <x:c r="B89" s="48"/>
      <x:c r="C89" s="49"/>
      <x:c r="D89" s="48"/>
      <x:c r="E89" s="48"/>
      <x:c r="F89" s="48"/>
      <x:c r="G89" s="48"/>
      <x:c r="H89" s="50"/>
      <x:c r="I89" s="50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51"/>
      <x:c r="X89" s="48"/>
      <x:c r="Y89" s="48"/>
      <x:c r="Z89" s="48"/>
      <x:c r="AA89" s="48"/>
      <x:c r="AB89" s="48"/>
      <x:c r="AC89" s="48"/>
      <x:c r="AD89" s="48"/>
      <x:c r="AE89" s="48"/>
      <x:c r="AF89" s="48"/>
      <x:c r="AG89" s="48"/>
      <x:c r="AH89" s="48"/>
      <x:c r="AI89" s="48"/>
      <x:c r="AJ89" s="48"/>
      <x:c r="AK89" s="48"/>
      <x:c r="AL89" s="48"/>
      <x:c r="AM89" s="52"/>
    </x:row>
    <x:row r="90">
      <x:c r="A90" s="47"/>
      <x:c r="B90" s="48"/>
      <x:c r="C90" s="49"/>
      <x:c r="D90" s="48"/>
      <x:c r="E90" s="48"/>
      <x:c r="F90" s="48"/>
      <x:c r="G90" s="48"/>
      <x:c r="H90" s="50"/>
      <x:c r="I90" s="50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51"/>
      <x:c r="X90" s="48"/>
      <x:c r="Y90" s="48"/>
      <x:c r="Z90" s="48"/>
      <x:c r="AA90" s="48"/>
      <x:c r="AB90" s="48"/>
      <x:c r="AC90" s="48"/>
      <x:c r="AD90" s="48"/>
      <x:c r="AE90" s="48"/>
      <x:c r="AF90" s="48"/>
      <x:c r="AG90" s="48"/>
      <x:c r="AH90" s="48"/>
      <x:c r="AI90" s="48"/>
      <x:c r="AJ90" s="48"/>
      <x:c r="AK90" s="48"/>
      <x:c r="AL90" s="48"/>
      <x:c r="AM90" s="52"/>
    </x:row>
    <x:row r="91">
      <x:c r="A91" s="47"/>
      <x:c r="B91" s="48"/>
      <x:c r="C91" s="49"/>
      <x:c r="D91" s="48"/>
      <x:c r="E91" s="48"/>
      <x:c r="F91" s="48"/>
      <x:c r="G91" s="48"/>
      <x:c r="H91" s="50"/>
      <x:c r="I91" s="50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51"/>
      <x:c r="X91" s="48"/>
      <x:c r="Y91" s="48"/>
      <x:c r="Z91" s="48"/>
      <x:c r="AA91" s="48"/>
      <x:c r="AB91" s="48"/>
      <x:c r="AC91" s="48"/>
      <x:c r="AD91" s="48"/>
      <x:c r="AE91" s="48"/>
      <x:c r="AF91" s="48"/>
      <x:c r="AG91" s="48"/>
      <x:c r="AH91" s="48"/>
      <x:c r="AI91" s="48"/>
      <x:c r="AJ91" s="48"/>
      <x:c r="AK91" s="48"/>
      <x:c r="AL91" s="48"/>
      <x:c r="AM91" s="52"/>
    </x:row>
    <x:row r="92">
      <x:c r="A92" s="47"/>
      <x:c r="B92" s="48"/>
      <x:c r="C92" s="49"/>
      <x:c r="D92" s="48"/>
      <x:c r="E92" s="48"/>
      <x:c r="F92" s="48"/>
      <x:c r="G92" s="48"/>
      <x:c r="H92" s="50"/>
      <x:c r="I92" s="50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51"/>
      <x:c r="X92" s="48"/>
      <x:c r="Y92" s="48"/>
      <x:c r="Z92" s="48"/>
      <x:c r="AA92" s="48"/>
      <x:c r="AB92" s="48"/>
      <x:c r="AC92" s="48"/>
      <x:c r="AD92" s="48"/>
      <x:c r="AE92" s="48"/>
      <x:c r="AF92" s="48"/>
      <x:c r="AG92" s="48"/>
      <x:c r="AH92" s="48"/>
      <x:c r="AI92" s="48"/>
      <x:c r="AJ92" s="48"/>
      <x:c r="AK92" s="48"/>
      <x:c r="AL92" s="48"/>
      <x:c r="AM92" s="52"/>
    </x:row>
    <x:row r="93">
      <x:c r="A93" s="47"/>
      <x:c r="B93" s="48"/>
      <x:c r="C93" s="49"/>
      <x:c r="D93" s="48"/>
      <x:c r="E93" s="48"/>
      <x:c r="F93" s="48"/>
      <x:c r="G93" s="48"/>
      <x:c r="H93" s="50"/>
      <x:c r="I93" s="50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51"/>
      <x:c r="X93" s="48"/>
      <x:c r="Y93" s="48"/>
      <x:c r="Z93" s="48"/>
      <x:c r="AA93" s="48"/>
      <x:c r="AB93" s="48"/>
      <x:c r="AC93" s="48"/>
      <x:c r="AD93" s="48"/>
      <x:c r="AE93" s="48"/>
      <x:c r="AF93" s="48"/>
      <x:c r="AG93" s="48"/>
      <x:c r="AH93" s="48"/>
      <x:c r="AI93" s="48"/>
      <x:c r="AJ93" s="48"/>
      <x:c r="AK93" s="48"/>
      <x:c r="AL93" s="48"/>
      <x:c r="AM93" s="52"/>
    </x:row>
    <x:row r="94">
      <x:c r="A94" s="47"/>
      <x:c r="B94" s="48"/>
      <x:c r="C94" s="49"/>
      <x:c r="D94" s="48"/>
      <x:c r="E94" s="48"/>
      <x:c r="F94" s="48"/>
      <x:c r="G94" s="48"/>
      <x:c r="H94" s="50"/>
      <x:c r="I94" s="50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51"/>
      <x:c r="X94" s="48"/>
      <x:c r="Y94" s="48"/>
      <x:c r="Z94" s="48"/>
      <x:c r="AA94" s="48"/>
      <x:c r="AB94" s="48"/>
      <x:c r="AC94" s="48"/>
      <x:c r="AD94" s="48"/>
      <x:c r="AE94" s="48"/>
      <x:c r="AF94" s="48"/>
      <x:c r="AG94" s="48"/>
      <x:c r="AH94" s="48"/>
      <x:c r="AI94" s="48"/>
      <x:c r="AJ94" s="48"/>
      <x:c r="AK94" s="48"/>
      <x:c r="AL94" s="48"/>
      <x:c r="AM94" s="52"/>
    </x:row>
    <x:row r="95">
      <x:c r="A95" s="47"/>
      <x:c r="B95" s="48"/>
      <x:c r="C95" s="49"/>
      <x:c r="D95" s="48"/>
      <x:c r="E95" s="48"/>
      <x:c r="F95" s="48"/>
      <x:c r="G95" s="48"/>
      <x:c r="H95" s="50"/>
      <x:c r="I95" s="50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51"/>
      <x:c r="X95" s="48"/>
      <x:c r="Y95" s="48"/>
      <x:c r="Z95" s="48"/>
      <x:c r="AA95" s="48"/>
      <x:c r="AB95" s="48"/>
      <x:c r="AC95" s="48"/>
      <x:c r="AD95" s="48"/>
      <x:c r="AE95" s="48"/>
      <x:c r="AF95" s="48"/>
      <x:c r="AG95" s="48"/>
      <x:c r="AH95" s="48"/>
      <x:c r="AI95" s="48"/>
      <x:c r="AJ95" s="48"/>
      <x:c r="AK95" s="48"/>
      <x:c r="AL95" s="48"/>
      <x:c r="AM95" s="52"/>
    </x:row>
    <x:row r="96">
      <x:c r="A96" s="47"/>
      <x:c r="B96" s="48"/>
      <x:c r="C96" s="49"/>
      <x:c r="D96" s="48"/>
      <x:c r="E96" s="48"/>
      <x:c r="F96" s="48"/>
      <x:c r="G96" s="48"/>
      <x:c r="H96" s="50"/>
      <x:c r="I96" s="50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51"/>
      <x:c r="X96" s="48"/>
      <x:c r="Y96" s="48"/>
      <x:c r="Z96" s="48"/>
      <x:c r="AA96" s="48"/>
      <x:c r="AB96" s="48"/>
      <x:c r="AC96" s="48"/>
      <x:c r="AD96" s="48"/>
      <x:c r="AE96" s="48"/>
      <x:c r="AF96" s="48"/>
      <x:c r="AG96" s="48"/>
      <x:c r="AH96" s="48"/>
      <x:c r="AI96" s="48"/>
      <x:c r="AJ96" s="48"/>
      <x:c r="AK96" s="48"/>
      <x:c r="AL96" s="48"/>
      <x:c r="AM96" s="52"/>
    </x:row>
    <x:row r="97">
      <x:c r="A97" s="47"/>
      <x:c r="B97" s="48"/>
      <x:c r="C97" s="49"/>
      <x:c r="D97" s="48"/>
      <x:c r="E97" s="48"/>
      <x:c r="F97" s="48"/>
      <x:c r="G97" s="48"/>
      <x:c r="H97" s="50"/>
      <x:c r="I97" s="50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51"/>
      <x:c r="X97" s="48"/>
      <x:c r="Y97" s="48"/>
      <x:c r="Z97" s="48"/>
      <x:c r="AA97" s="48"/>
      <x:c r="AB97" s="48"/>
      <x:c r="AC97" s="48"/>
      <x:c r="AD97" s="48"/>
      <x:c r="AE97" s="48"/>
      <x:c r="AF97" s="48"/>
      <x:c r="AG97" s="48"/>
      <x:c r="AH97" s="48"/>
      <x:c r="AI97" s="48"/>
      <x:c r="AJ97" s="48"/>
      <x:c r="AK97" s="48"/>
      <x:c r="AL97" s="48"/>
      <x:c r="AM97" s="52"/>
    </x:row>
    <x:row r="98">
      <x:c r="A98" s="47"/>
      <x:c r="B98" s="48"/>
      <x:c r="C98" s="49"/>
      <x:c r="D98" s="48"/>
      <x:c r="E98" s="48"/>
      <x:c r="F98" s="48"/>
      <x:c r="G98" s="48"/>
      <x:c r="H98" s="50"/>
      <x:c r="I98" s="50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51"/>
      <x:c r="X98" s="48"/>
      <x:c r="Y98" s="48"/>
      <x:c r="Z98" s="48"/>
      <x:c r="AA98" s="48"/>
      <x:c r="AB98" s="48"/>
      <x:c r="AC98" s="48"/>
      <x:c r="AD98" s="48"/>
      <x:c r="AE98" s="48"/>
      <x:c r="AF98" s="48"/>
      <x:c r="AG98" s="48"/>
      <x:c r="AH98" s="48"/>
      <x:c r="AI98" s="48"/>
      <x:c r="AJ98" s="48"/>
      <x:c r="AK98" s="48"/>
      <x:c r="AL98" s="48"/>
      <x:c r="AM98" s="52"/>
    </x:row>
    <x:row r="99">
      <x:c r="A99" s="47"/>
      <x:c r="B99" s="48"/>
      <x:c r="C99" s="49"/>
      <x:c r="D99" s="48"/>
      <x:c r="E99" s="48"/>
      <x:c r="F99" s="48"/>
      <x:c r="G99" s="48"/>
      <x:c r="H99" s="50"/>
      <x:c r="I99" s="50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51"/>
      <x:c r="X99" s="48"/>
      <x:c r="Y99" s="48"/>
      <x:c r="Z99" s="48"/>
      <x:c r="AA99" s="48"/>
      <x:c r="AB99" s="48"/>
      <x:c r="AC99" s="48"/>
      <x:c r="AD99" s="48"/>
      <x:c r="AE99" s="48"/>
      <x:c r="AF99" s="48"/>
      <x:c r="AG99" s="48"/>
      <x:c r="AH99" s="48"/>
      <x:c r="AI99" s="48"/>
      <x:c r="AJ99" s="48"/>
      <x:c r="AK99" s="48"/>
      <x:c r="AL99" s="48"/>
      <x:c r="AM99" s="52"/>
    </x:row>
    <x:row r="100">
      <x:c r="A100" s="47"/>
      <x:c r="B100" s="48"/>
      <x:c r="C100" s="49"/>
      <x:c r="D100" s="48"/>
      <x:c r="E100" s="48"/>
      <x:c r="F100" s="48"/>
      <x:c r="G100" s="48"/>
      <x:c r="H100" s="50"/>
      <x:c r="I100" s="50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51"/>
      <x:c r="X100" s="48"/>
      <x:c r="Y100" s="48"/>
      <x:c r="Z100" s="48"/>
      <x:c r="AA100" s="48"/>
      <x:c r="AB100" s="48"/>
      <x:c r="AC100" s="48"/>
      <x:c r="AD100" s="48"/>
      <x:c r="AE100" s="48"/>
      <x:c r="AF100" s="48"/>
      <x:c r="AG100" s="48"/>
      <x:c r="AH100" s="48"/>
      <x:c r="AI100" s="48"/>
      <x:c r="AJ100" s="48"/>
      <x:c r="AK100" s="48"/>
      <x:c r="AL100" s="48"/>
      <x:c r="AM100" s="52"/>
    </x:row>
    <x:row r="101">
      <x:c r="A101" s="47"/>
      <x:c r="B101" s="48"/>
      <x:c r="C101" s="49"/>
      <x:c r="D101" s="48"/>
      <x:c r="E101" s="48"/>
      <x:c r="F101" s="48"/>
      <x:c r="G101" s="48"/>
      <x:c r="H101" s="50"/>
      <x:c r="I101" s="50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51"/>
      <x:c r="X101" s="48"/>
      <x:c r="Y101" s="48"/>
      <x:c r="Z101" s="48"/>
      <x:c r="AA101" s="48"/>
      <x:c r="AB101" s="48"/>
      <x:c r="AC101" s="48"/>
      <x:c r="AD101" s="48"/>
      <x:c r="AE101" s="48"/>
      <x:c r="AF101" s="48"/>
      <x:c r="AG101" s="48"/>
      <x:c r="AH101" s="48"/>
      <x:c r="AI101" s="48"/>
      <x:c r="AJ101" s="48"/>
      <x:c r="AK101" s="48"/>
      <x:c r="AL101" s="48"/>
      <x:c r="AM101" s="52"/>
    </x:row>
    <x:row r="102">
      <x:c r="A102" s="47"/>
      <x:c r="B102" s="48"/>
      <x:c r="C102" s="49"/>
      <x:c r="D102" s="48"/>
      <x:c r="E102" s="48"/>
      <x:c r="F102" s="48"/>
      <x:c r="G102" s="48"/>
      <x:c r="H102" s="50"/>
      <x:c r="I102" s="50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51"/>
      <x:c r="X102" s="48"/>
      <x:c r="Y102" s="48"/>
      <x:c r="Z102" s="48"/>
      <x:c r="AA102" s="48"/>
      <x:c r="AB102" s="48"/>
      <x:c r="AC102" s="48"/>
      <x:c r="AD102" s="48"/>
      <x:c r="AE102" s="48"/>
      <x:c r="AF102" s="48"/>
      <x:c r="AG102" s="48"/>
      <x:c r="AH102" s="48"/>
      <x:c r="AI102" s="48"/>
      <x:c r="AJ102" s="48"/>
      <x:c r="AK102" s="48"/>
      <x:c r="AL102" s="48"/>
      <x:c r="AM102" s="52"/>
    </x:row>
    <x:row r="103">
      <x:c r="A103" s="47"/>
      <x:c r="B103" s="48"/>
      <x:c r="C103" s="49"/>
      <x:c r="D103" s="48"/>
      <x:c r="E103" s="48"/>
      <x:c r="F103" s="48"/>
      <x:c r="G103" s="48"/>
      <x:c r="H103" s="50"/>
      <x:c r="I103" s="50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51"/>
      <x:c r="X103" s="48"/>
      <x:c r="Y103" s="48"/>
      <x:c r="Z103" s="48"/>
      <x:c r="AA103" s="48"/>
      <x:c r="AB103" s="48"/>
      <x:c r="AC103" s="48"/>
      <x:c r="AD103" s="48"/>
      <x:c r="AE103" s="48"/>
      <x:c r="AF103" s="48"/>
      <x:c r="AG103" s="48"/>
      <x:c r="AH103" s="48"/>
      <x:c r="AI103" s="48"/>
      <x:c r="AJ103" s="48"/>
      <x:c r="AK103" s="48"/>
      <x:c r="AL103" s="48"/>
      <x:c r="AM103" s="52"/>
    </x:row>
    <x:row r="104">
      <x:c r="A104" s="47"/>
      <x:c r="B104" s="48"/>
      <x:c r="C104" s="49"/>
      <x:c r="D104" s="48"/>
      <x:c r="E104" s="48"/>
      <x:c r="F104" s="48"/>
      <x:c r="G104" s="48"/>
      <x:c r="H104" s="50"/>
      <x:c r="I104" s="50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51"/>
      <x:c r="X104" s="48"/>
      <x:c r="Y104" s="48"/>
      <x:c r="Z104" s="48"/>
      <x:c r="AA104" s="48"/>
      <x:c r="AB104" s="48"/>
      <x:c r="AC104" s="48"/>
      <x:c r="AD104" s="48"/>
      <x:c r="AE104" s="48"/>
      <x:c r="AF104" s="48"/>
      <x:c r="AG104" s="48"/>
      <x:c r="AH104" s="48"/>
      <x:c r="AI104" s="48"/>
      <x:c r="AJ104" s="48"/>
      <x:c r="AK104" s="48"/>
      <x:c r="AL104" s="48"/>
      <x:c r="AM104" s="52"/>
    </x:row>
    <x:row r="105">
      <x:c r="A105" s="47"/>
      <x:c r="B105" s="48"/>
      <x:c r="C105" s="49"/>
      <x:c r="D105" s="48"/>
      <x:c r="E105" s="48"/>
      <x:c r="F105" s="48"/>
      <x:c r="G105" s="48"/>
      <x:c r="H105" s="50"/>
      <x:c r="I105" s="50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51"/>
      <x:c r="X105" s="48"/>
      <x:c r="Y105" s="48"/>
      <x:c r="Z105" s="48"/>
      <x:c r="AA105" s="48"/>
      <x:c r="AB105" s="48"/>
      <x:c r="AC105" s="48"/>
      <x:c r="AD105" s="48"/>
      <x:c r="AE105" s="48"/>
      <x:c r="AF105" s="48"/>
      <x:c r="AG105" s="48"/>
      <x:c r="AH105" s="48"/>
      <x:c r="AI105" s="48"/>
      <x:c r="AJ105" s="48"/>
      <x:c r="AK105" s="48"/>
      <x:c r="AL105" s="48"/>
      <x:c r="AM105" s="52"/>
    </x:row>
    <x:row r="106">
      <x:c r="A106" s="47"/>
      <x:c r="B106" s="48"/>
      <x:c r="C106" s="49"/>
      <x:c r="D106" s="48"/>
      <x:c r="E106" s="48"/>
      <x:c r="F106" s="48"/>
      <x:c r="G106" s="48"/>
      <x:c r="H106" s="50"/>
      <x:c r="I106" s="50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51"/>
      <x:c r="X106" s="48"/>
      <x:c r="Y106" s="48"/>
      <x:c r="Z106" s="48"/>
      <x:c r="AA106" s="48"/>
      <x:c r="AB106" s="48"/>
      <x:c r="AC106" s="48"/>
      <x:c r="AD106" s="48"/>
      <x:c r="AE106" s="48"/>
      <x:c r="AF106" s="48"/>
      <x:c r="AG106" s="48"/>
      <x:c r="AH106" s="48"/>
      <x:c r="AI106" s="48"/>
      <x:c r="AJ106" s="48"/>
      <x:c r="AK106" s="48"/>
      <x:c r="AL106" s="48"/>
      <x:c r="AM106" s="52"/>
    </x:row>
    <x:row r="107">
      <x:c r="A107" s="47"/>
      <x:c r="B107" s="48"/>
      <x:c r="C107" s="49"/>
      <x:c r="D107" s="48"/>
      <x:c r="E107" s="48"/>
      <x:c r="F107" s="48"/>
      <x:c r="G107" s="48"/>
      <x:c r="H107" s="50"/>
      <x:c r="I107" s="50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51"/>
      <x:c r="X107" s="48"/>
      <x:c r="Y107" s="48"/>
      <x:c r="Z107" s="48"/>
      <x:c r="AA107" s="48"/>
      <x:c r="AB107" s="48"/>
      <x:c r="AC107" s="48"/>
      <x:c r="AD107" s="48"/>
      <x:c r="AE107" s="48"/>
      <x:c r="AF107" s="48"/>
      <x:c r="AG107" s="48"/>
      <x:c r="AH107" s="48"/>
      <x:c r="AI107" s="48"/>
      <x:c r="AJ107" s="48"/>
      <x:c r="AK107" s="48"/>
      <x:c r="AL107" s="48"/>
      <x:c r="AM107" s="52"/>
    </x:row>
    <x:row r="108">
      <x:c r="A108" s="47"/>
      <x:c r="B108" s="48"/>
      <x:c r="C108" s="49"/>
      <x:c r="D108" s="48"/>
      <x:c r="E108" s="48"/>
      <x:c r="F108" s="48"/>
      <x:c r="G108" s="48"/>
      <x:c r="H108" s="50"/>
      <x:c r="I108" s="50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51"/>
      <x:c r="X108" s="48"/>
      <x:c r="Y108" s="48"/>
      <x:c r="Z108" s="48"/>
      <x:c r="AA108" s="48"/>
      <x:c r="AB108" s="48"/>
      <x:c r="AC108" s="48"/>
      <x:c r="AD108" s="48"/>
      <x:c r="AE108" s="48"/>
      <x:c r="AF108" s="48"/>
      <x:c r="AG108" s="48"/>
      <x:c r="AH108" s="48"/>
      <x:c r="AI108" s="48"/>
      <x:c r="AJ108" s="48"/>
      <x:c r="AK108" s="48"/>
      <x:c r="AL108" s="48"/>
      <x:c r="AM108" s="52"/>
    </x:row>
    <x:row r="109">
      <x:c r="A109" s="47"/>
      <x:c r="B109" s="48"/>
      <x:c r="C109" s="49"/>
      <x:c r="D109" s="48"/>
      <x:c r="E109" s="48"/>
      <x:c r="F109" s="48"/>
      <x:c r="G109" s="48"/>
      <x:c r="H109" s="50"/>
      <x:c r="I109" s="50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51"/>
      <x:c r="X109" s="48"/>
      <x:c r="Y109" s="48"/>
      <x:c r="Z109" s="48"/>
      <x:c r="AA109" s="48"/>
      <x:c r="AB109" s="48"/>
      <x:c r="AC109" s="48"/>
      <x:c r="AD109" s="48"/>
      <x:c r="AE109" s="48"/>
      <x:c r="AF109" s="48"/>
      <x:c r="AG109" s="48"/>
      <x:c r="AH109" s="48"/>
      <x:c r="AI109" s="48"/>
      <x:c r="AJ109" s="48"/>
      <x:c r="AK109" s="48"/>
      <x:c r="AL109" s="48"/>
      <x:c r="AM109" s="52"/>
    </x:row>
    <x:row r="110">
      <x:c r="A110" s="47"/>
      <x:c r="B110" s="48"/>
      <x:c r="C110" s="49"/>
      <x:c r="D110" s="48"/>
      <x:c r="E110" s="48"/>
      <x:c r="F110" s="48"/>
      <x:c r="G110" s="48"/>
      <x:c r="H110" s="50"/>
      <x:c r="I110" s="50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51"/>
      <x:c r="X110" s="48"/>
      <x:c r="Y110" s="48"/>
      <x:c r="Z110" s="48"/>
      <x:c r="AA110" s="48"/>
      <x:c r="AB110" s="48"/>
      <x:c r="AC110" s="48"/>
      <x:c r="AD110" s="48"/>
      <x:c r="AE110" s="48"/>
      <x:c r="AF110" s="48"/>
      <x:c r="AG110" s="48"/>
      <x:c r="AH110" s="48"/>
      <x:c r="AI110" s="48"/>
      <x:c r="AJ110" s="48"/>
      <x:c r="AK110" s="48"/>
      <x:c r="AL110" s="48"/>
      <x:c r="AM110" s="52"/>
    </x:row>
    <x:row r="111">
      <x:c r="A111" s="47"/>
      <x:c r="B111" s="48"/>
      <x:c r="C111" s="49"/>
      <x:c r="D111" s="48"/>
      <x:c r="E111" s="48"/>
      <x:c r="F111" s="48"/>
      <x:c r="G111" s="48"/>
      <x:c r="H111" s="50"/>
      <x:c r="I111" s="50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51"/>
      <x:c r="X111" s="48"/>
      <x:c r="Y111" s="48"/>
      <x:c r="Z111" s="48"/>
      <x:c r="AA111" s="48"/>
      <x:c r="AB111" s="48"/>
      <x:c r="AC111" s="48"/>
      <x:c r="AD111" s="48"/>
      <x:c r="AE111" s="48"/>
      <x:c r="AF111" s="48"/>
      <x:c r="AG111" s="48"/>
      <x:c r="AH111" s="48"/>
      <x:c r="AI111" s="48"/>
      <x:c r="AJ111" s="48"/>
      <x:c r="AK111" s="48"/>
      <x:c r="AL111" s="48"/>
      <x:c r="AM111" s="52"/>
    </x:row>
    <x:row r="112">
      <x:c r="A112" s="47"/>
      <x:c r="B112" s="48"/>
      <x:c r="C112" s="49"/>
      <x:c r="D112" s="48"/>
      <x:c r="E112" s="48"/>
      <x:c r="F112" s="48"/>
      <x:c r="G112" s="48"/>
      <x:c r="H112" s="50"/>
      <x:c r="I112" s="50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51"/>
      <x:c r="X112" s="48"/>
      <x:c r="Y112" s="48"/>
      <x:c r="Z112" s="48"/>
      <x:c r="AA112" s="48"/>
      <x:c r="AB112" s="48"/>
      <x:c r="AC112" s="48"/>
      <x:c r="AD112" s="48"/>
      <x:c r="AE112" s="48"/>
      <x:c r="AF112" s="48"/>
      <x:c r="AG112" s="48"/>
      <x:c r="AH112" s="48"/>
      <x:c r="AI112" s="48"/>
      <x:c r="AJ112" s="48"/>
      <x:c r="AK112" s="48"/>
      <x:c r="AL112" s="48"/>
      <x:c r="AM112" s="52"/>
    </x:row>
    <x:row r="113">
      <x:c r="A113" s="47"/>
      <x:c r="B113" s="48"/>
      <x:c r="C113" s="49"/>
      <x:c r="D113" s="48"/>
      <x:c r="E113" s="48"/>
      <x:c r="F113" s="48"/>
      <x:c r="G113" s="48"/>
      <x:c r="H113" s="50"/>
      <x:c r="I113" s="50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51"/>
      <x:c r="X113" s="48"/>
      <x:c r="Y113" s="48"/>
      <x:c r="Z113" s="48"/>
      <x:c r="AA113" s="48"/>
      <x:c r="AB113" s="48"/>
      <x:c r="AC113" s="48"/>
      <x:c r="AD113" s="48"/>
      <x:c r="AE113" s="48"/>
      <x:c r="AF113" s="48"/>
      <x:c r="AG113" s="48"/>
      <x:c r="AH113" s="48"/>
      <x:c r="AI113" s="48"/>
      <x:c r="AJ113" s="48"/>
      <x:c r="AK113" s="48"/>
      <x:c r="AL113" s="48"/>
      <x:c r="AM113" s="52"/>
    </x:row>
    <x:row r="114">
      <x:c r="A114" s="47"/>
      <x:c r="B114" s="48"/>
      <x:c r="C114" s="49"/>
      <x:c r="D114" s="48"/>
      <x:c r="E114" s="48"/>
      <x:c r="F114" s="48"/>
      <x:c r="G114" s="48"/>
      <x:c r="H114" s="50"/>
      <x:c r="I114" s="50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51"/>
      <x:c r="X114" s="48"/>
      <x:c r="Y114" s="48"/>
      <x:c r="Z114" s="48"/>
      <x:c r="AA114" s="48"/>
      <x:c r="AB114" s="48"/>
      <x:c r="AC114" s="48"/>
      <x:c r="AD114" s="48"/>
      <x:c r="AE114" s="48"/>
      <x:c r="AF114" s="48"/>
      <x:c r="AG114" s="48"/>
      <x:c r="AH114" s="48"/>
      <x:c r="AI114" s="48"/>
      <x:c r="AJ114" s="48"/>
      <x:c r="AK114" s="48"/>
      <x:c r="AL114" s="48"/>
      <x:c r="AM114" s="52"/>
    </x:row>
    <x:row r="115">
      <x:c r="A115" s="47"/>
      <x:c r="B115" s="48"/>
      <x:c r="C115" s="49"/>
      <x:c r="D115" s="48"/>
      <x:c r="E115" s="48"/>
      <x:c r="F115" s="48"/>
      <x:c r="G115" s="48"/>
      <x:c r="H115" s="50"/>
      <x:c r="I115" s="50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51"/>
      <x:c r="X115" s="48"/>
      <x:c r="Y115" s="48"/>
      <x:c r="Z115" s="48"/>
      <x:c r="AA115" s="48"/>
      <x:c r="AB115" s="48"/>
      <x:c r="AC115" s="48"/>
      <x:c r="AD115" s="48"/>
      <x:c r="AE115" s="48"/>
      <x:c r="AF115" s="48"/>
      <x:c r="AG115" s="48"/>
      <x:c r="AH115" s="48"/>
      <x:c r="AI115" s="48"/>
      <x:c r="AJ115" s="48"/>
      <x:c r="AK115" s="48"/>
      <x:c r="AL115" s="48"/>
      <x:c r="AM115" s="52"/>
    </x:row>
    <x:row r="116">
      <x:c r="A116" s="47"/>
      <x:c r="B116" s="48"/>
      <x:c r="C116" s="49"/>
      <x:c r="D116" s="48"/>
      <x:c r="E116" s="48"/>
      <x:c r="F116" s="48"/>
      <x:c r="G116" s="48"/>
      <x:c r="H116" s="50"/>
      <x:c r="I116" s="50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51"/>
      <x:c r="X116" s="48"/>
      <x:c r="Y116" s="48"/>
      <x:c r="Z116" s="48"/>
      <x:c r="AA116" s="48"/>
      <x:c r="AB116" s="48"/>
      <x:c r="AC116" s="48"/>
      <x:c r="AD116" s="48"/>
      <x:c r="AE116" s="48"/>
      <x:c r="AF116" s="48"/>
      <x:c r="AG116" s="48"/>
      <x:c r="AH116" s="48"/>
      <x:c r="AI116" s="48"/>
      <x:c r="AJ116" s="48"/>
      <x:c r="AK116" s="48"/>
      <x:c r="AL116" s="48"/>
      <x:c r="AM116" s="52"/>
    </x:row>
    <x:row r="117">
      <x:c r="A117" s="47"/>
      <x:c r="B117" s="48"/>
      <x:c r="C117" s="49"/>
      <x:c r="D117" s="48"/>
      <x:c r="E117" s="48"/>
      <x:c r="F117" s="48"/>
      <x:c r="G117" s="48"/>
      <x:c r="H117" s="50"/>
      <x:c r="I117" s="50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51"/>
      <x:c r="X117" s="48"/>
      <x:c r="Y117" s="48"/>
      <x:c r="Z117" s="48"/>
      <x:c r="AA117" s="48"/>
      <x:c r="AB117" s="48"/>
      <x:c r="AC117" s="48"/>
      <x:c r="AD117" s="48"/>
      <x:c r="AE117" s="48"/>
      <x:c r="AF117" s="48"/>
      <x:c r="AG117" s="48"/>
      <x:c r="AH117" s="48"/>
      <x:c r="AI117" s="48"/>
      <x:c r="AJ117" s="48"/>
      <x:c r="AK117" s="48"/>
      <x:c r="AL117" s="48"/>
      <x:c r="AM117" s="52"/>
    </x:row>
    <x:row r="118">
      <x:c r="A118" s="47"/>
      <x:c r="B118" s="48"/>
      <x:c r="C118" s="49"/>
      <x:c r="D118" s="48"/>
      <x:c r="E118" s="48"/>
      <x:c r="F118" s="48"/>
      <x:c r="G118" s="48"/>
      <x:c r="H118" s="50"/>
      <x:c r="I118" s="50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51"/>
      <x:c r="X118" s="48"/>
      <x:c r="Y118" s="48"/>
      <x:c r="Z118" s="48"/>
      <x:c r="AA118" s="48"/>
      <x:c r="AB118" s="48"/>
      <x:c r="AC118" s="48"/>
      <x:c r="AD118" s="48"/>
      <x:c r="AE118" s="48"/>
      <x:c r="AF118" s="48"/>
      <x:c r="AG118" s="48"/>
      <x:c r="AH118" s="48"/>
      <x:c r="AI118" s="48"/>
      <x:c r="AJ118" s="48"/>
      <x:c r="AK118" s="48"/>
      <x:c r="AL118" s="48"/>
      <x:c r="AM118" s="52"/>
    </x:row>
    <x:row r="119">
      <x:c r="A119" s="47"/>
      <x:c r="B119" s="48"/>
      <x:c r="C119" s="49"/>
      <x:c r="D119" s="48"/>
      <x:c r="E119" s="48"/>
      <x:c r="F119" s="48"/>
      <x:c r="G119" s="48"/>
      <x:c r="H119" s="50"/>
      <x:c r="I119" s="50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51"/>
      <x:c r="X119" s="48"/>
      <x:c r="Y119" s="48"/>
      <x:c r="Z119" s="48"/>
      <x:c r="AA119" s="48"/>
      <x:c r="AB119" s="48"/>
      <x:c r="AC119" s="48"/>
      <x:c r="AD119" s="48"/>
      <x:c r="AE119" s="48"/>
      <x:c r="AF119" s="48"/>
      <x:c r="AG119" s="48"/>
      <x:c r="AH119" s="48"/>
      <x:c r="AI119" s="48"/>
      <x:c r="AJ119" s="48"/>
      <x:c r="AK119" s="48"/>
      <x:c r="AL119" s="48"/>
      <x:c r="AM119" s="52"/>
    </x:row>
    <x:row r="120">
      <x:c r="A120" s="47"/>
      <x:c r="B120" s="48"/>
      <x:c r="C120" s="49"/>
      <x:c r="D120" s="48"/>
      <x:c r="E120" s="48"/>
      <x:c r="F120" s="48"/>
      <x:c r="G120" s="48"/>
      <x:c r="H120" s="50"/>
      <x:c r="I120" s="50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51"/>
      <x:c r="X120" s="48"/>
      <x:c r="Y120" s="48"/>
      <x:c r="Z120" s="48"/>
      <x:c r="AA120" s="48"/>
      <x:c r="AB120" s="48"/>
      <x:c r="AC120" s="48"/>
      <x:c r="AD120" s="48"/>
      <x:c r="AE120" s="48"/>
      <x:c r="AF120" s="48"/>
      <x:c r="AG120" s="48"/>
      <x:c r="AH120" s="48"/>
      <x:c r="AI120" s="48"/>
      <x:c r="AJ120" s="48"/>
      <x:c r="AK120" s="48"/>
      <x:c r="AL120" s="48"/>
      <x:c r="AM120" s="52"/>
    </x:row>
    <x:row r="121">
      <x:c r="A121" s="47"/>
      <x:c r="B121" s="48"/>
      <x:c r="C121" s="49"/>
      <x:c r="D121" s="48"/>
      <x:c r="E121" s="48"/>
      <x:c r="F121" s="48"/>
      <x:c r="G121" s="48"/>
      <x:c r="H121" s="50"/>
      <x:c r="I121" s="50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51"/>
      <x:c r="X121" s="48"/>
      <x:c r="Y121" s="48"/>
      <x:c r="Z121" s="48"/>
      <x:c r="AA121" s="48"/>
      <x:c r="AB121" s="48"/>
      <x:c r="AC121" s="48"/>
      <x:c r="AD121" s="48"/>
      <x:c r="AE121" s="48"/>
      <x:c r="AF121" s="48"/>
      <x:c r="AG121" s="48"/>
      <x:c r="AH121" s="48"/>
      <x:c r="AI121" s="48"/>
      <x:c r="AJ121" s="48"/>
      <x:c r="AK121" s="48"/>
      <x:c r="AL121" s="48"/>
      <x:c r="AM121" s="52"/>
    </x:row>
    <x:row r="122">
      <x:c r="A122" s="47"/>
      <x:c r="B122" s="48"/>
      <x:c r="C122" s="49"/>
      <x:c r="D122" s="48"/>
      <x:c r="E122" s="48"/>
      <x:c r="F122" s="48"/>
      <x:c r="G122" s="48"/>
      <x:c r="H122" s="50"/>
      <x:c r="I122" s="50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51"/>
      <x:c r="X122" s="48"/>
      <x:c r="Y122" s="48"/>
      <x:c r="Z122" s="48"/>
      <x:c r="AA122" s="48"/>
      <x:c r="AB122" s="48"/>
      <x:c r="AC122" s="48"/>
      <x:c r="AD122" s="48"/>
      <x:c r="AE122" s="48"/>
      <x:c r="AF122" s="48"/>
      <x:c r="AG122" s="48"/>
      <x:c r="AH122" s="48"/>
      <x:c r="AI122" s="48"/>
      <x:c r="AJ122" s="48"/>
      <x:c r="AK122" s="48"/>
      <x:c r="AL122" s="48"/>
      <x:c r="AM122" s="52"/>
    </x:row>
    <x:row r="123">
      <x:c r="A123" s="47"/>
      <x:c r="B123" s="48"/>
      <x:c r="C123" s="49"/>
      <x:c r="D123" s="48"/>
      <x:c r="E123" s="48"/>
      <x:c r="F123" s="48"/>
      <x:c r="G123" s="48"/>
      <x:c r="H123" s="50"/>
      <x:c r="I123" s="50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51"/>
      <x:c r="X123" s="48"/>
      <x:c r="Y123" s="48"/>
      <x:c r="Z123" s="48"/>
      <x:c r="AA123" s="48"/>
      <x:c r="AB123" s="48"/>
      <x:c r="AC123" s="48"/>
      <x:c r="AD123" s="48"/>
      <x:c r="AE123" s="48"/>
      <x:c r="AF123" s="48"/>
      <x:c r="AG123" s="48"/>
      <x:c r="AH123" s="48"/>
      <x:c r="AI123" s="48"/>
      <x:c r="AJ123" s="48"/>
      <x:c r="AK123" s="48"/>
      <x:c r="AL123" s="48"/>
      <x:c r="AM123" s="52"/>
    </x:row>
    <x:row r="124">
      <x:c r="A124" s="47"/>
      <x:c r="B124" s="48"/>
      <x:c r="C124" s="49"/>
      <x:c r="D124" s="48"/>
      <x:c r="E124" s="48"/>
      <x:c r="F124" s="48"/>
      <x:c r="G124" s="48"/>
      <x:c r="H124" s="50"/>
      <x:c r="I124" s="50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51"/>
      <x:c r="X124" s="48"/>
      <x:c r="Y124" s="48"/>
      <x:c r="Z124" s="48"/>
      <x:c r="AA124" s="48"/>
      <x:c r="AB124" s="48"/>
      <x:c r="AC124" s="48"/>
      <x:c r="AD124" s="48"/>
      <x:c r="AE124" s="48"/>
      <x:c r="AF124" s="48"/>
      <x:c r="AG124" s="48"/>
      <x:c r="AH124" s="48"/>
      <x:c r="AI124" s="48"/>
      <x:c r="AJ124" s="48"/>
      <x:c r="AK124" s="48"/>
      <x:c r="AL124" s="48"/>
      <x:c r="AM124" s="52"/>
    </x:row>
    <x:row r="125">
      <x:c r="A125" s="47"/>
      <x:c r="B125" s="48"/>
      <x:c r="C125" s="49"/>
      <x:c r="D125" s="48"/>
      <x:c r="E125" s="48"/>
      <x:c r="F125" s="48"/>
      <x:c r="G125" s="48"/>
      <x:c r="H125" s="50"/>
      <x:c r="I125" s="50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51"/>
      <x:c r="X125" s="48"/>
      <x:c r="Y125" s="48"/>
      <x:c r="Z125" s="48"/>
      <x:c r="AA125" s="48"/>
      <x:c r="AB125" s="48"/>
      <x:c r="AC125" s="48"/>
      <x:c r="AD125" s="48"/>
      <x:c r="AE125" s="48"/>
      <x:c r="AF125" s="48"/>
      <x:c r="AG125" s="48"/>
      <x:c r="AH125" s="48"/>
      <x:c r="AI125" s="48"/>
      <x:c r="AJ125" s="48"/>
      <x:c r="AK125" s="48"/>
      <x:c r="AL125" s="48"/>
      <x:c r="AM125" s="52"/>
    </x:row>
    <x:row r="126">
      <x:c r="A126" s="47"/>
      <x:c r="B126" s="48"/>
      <x:c r="C126" s="49"/>
      <x:c r="D126" s="48"/>
      <x:c r="E126" s="48"/>
      <x:c r="F126" s="48"/>
      <x:c r="G126" s="48"/>
      <x:c r="H126" s="50"/>
      <x:c r="I126" s="50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51"/>
      <x:c r="X126" s="48"/>
      <x:c r="Y126" s="48"/>
      <x:c r="Z126" s="48"/>
      <x:c r="AA126" s="48"/>
      <x:c r="AB126" s="48"/>
      <x:c r="AC126" s="48"/>
      <x:c r="AD126" s="48"/>
      <x:c r="AE126" s="48"/>
      <x:c r="AF126" s="48"/>
      <x:c r="AG126" s="48"/>
      <x:c r="AH126" s="48"/>
      <x:c r="AI126" s="48"/>
      <x:c r="AJ126" s="48"/>
      <x:c r="AK126" s="48"/>
      <x:c r="AL126" s="48"/>
      <x:c r="AM126" s="52"/>
    </x:row>
    <x:row r="127">
      <x:c r="A127" s="47"/>
      <x:c r="B127" s="48"/>
      <x:c r="C127" s="49"/>
      <x:c r="D127" s="48"/>
      <x:c r="E127" s="48"/>
      <x:c r="F127" s="48"/>
      <x:c r="G127" s="48"/>
      <x:c r="H127" s="50"/>
      <x:c r="I127" s="50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51"/>
      <x:c r="X127" s="48"/>
      <x:c r="Y127" s="48"/>
      <x:c r="Z127" s="48"/>
      <x:c r="AA127" s="48"/>
      <x:c r="AB127" s="48"/>
      <x:c r="AC127" s="48"/>
      <x:c r="AD127" s="48"/>
      <x:c r="AE127" s="48"/>
      <x:c r="AF127" s="48"/>
      <x:c r="AG127" s="48"/>
      <x:c r="AH127" s="48"/>
      <x:c r="AI127" s="48"/>
      <x:c r="AJ127" s="48"/>
      <x:c r="AK127" s="48"/>
      <x:c r="AL127" s="48"/>
      <x:c r="AM127" s="52"/>
    </x:row>
    <x:row r="128">
      <x:c r="A128" s="47"/>
      <x:c r="B128" s="48"/>
      <x:c r="C128" s="49"/>
      <x:c r="D128" s="48"/>
      <x:c r="E128" s="48"/>
      <x:c r="F128" s="48"/>
      <x:c r="G128" s="48"/>
      <x:c r="H128" s="50"/>
      <x:c r="I128" s="50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51"/>
      <x:c r="X128" s="48"/>
      <x:c r="Y128" s="48"/>
      <x:c r="Z128" s="48"/>
      <x:c r="AA128" s="48"/>
      <x:c r="AB128" s="48"/>
      <x:c r="AC128" s="48"/>
      <x:c r="AD128" s="48"/>
      <x:c r="AE128" s="48"/>
      <x:c r="AF128" s="48"/>
      <x:c r="AG128" s="48"/>
      <x:c r="AH128" s="48"/>
      <x:c r="AI128" s="48"/>
      <x:c r="AJ128" s="48"/>
      <x:c r="AK128" s="48"/>
      <x:c r="AL128" s="48"/>
      <x:c r="AM128" s="52"/>
    </x:row>
    <x:row r="129">
      <x:c r="A129" s="47"/>
      <x:c r="B129" s="48"/>
      <x:c r="C129" s="49"/>
      <x:c r="D129" s="48"/>
      <x:c r="E129" s="48"/>
      <x:c r="F129" s="48"/>
      <x:c r="G129" s="48"/>
      <x:c r="H129" s="50"/>
      <x:c r="I129" s="50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51"/>
      <x:c r="X129" s="48"/>
      <x:c r="Y129" s="48"/>
      <x:c r="Z129" s="48"/>
      <x:c r="AA129" s="48"/>
      <x:c r="AB129" s="48"/>
      <x:c r="AC129" s="48"/>
      <x:c r="AD129" s="48"/>
      <x:c r="AE129" s="48"/>
      <x:c r="AF129" s="48"/>
      <x:c r="AG129" s="48"/>
      <x:c r="AH129" s="48"/>
      <x:c r="AI129" s="48"/>
      <x:c r="AJ129" s="48"/>
      <x:c r="AK129" s="48"/>
      <x:c r="AL129" s="48"/>
      <x:c r="AM129" s="52"/>
    </x:row>
    <x:row r="130">
      <x:c r="A130" s="47"/>
      <x:c r="B130" s="48"/>
      <x:c r="C130" s="49"/>
      <x:c r="D130" s="48"/>
      <x:c r="E130" s="48"/>
      <x:c r="F130" s="48"/>
      <x:c r="G130" s="48"/>
      <x:c r="H130" s="50"/>
      <x:c r="I130" s="50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51"/>
      <x:c r="X130" s="48"/>
      <x:c r="Y130" s="48"/>
      <x:c r="Z130" s="48"/>
      <x:c r="AA130" s="48"/>
      <x:c r="AB130" s="48"/>
      <x:c r="AC130" s="48"/>
      <x:c r="AD130" s="48"/>
      <x:c r="AE130" s="48"/>
      <x:c r="AF130" s="48"/>
      <x:c r="AG130" s="48"/>
      <x:c r="AH130" s="48"/>
      <x:c r="AI130" s="48"/>
      <x:c r="AJ130" s="48"/>
      <x:c r="AK130" s="48"/>
      <x:c r="AL130" s="48"/>
      <x:c r="AM130" s="52"/>
    </x:row>
    <x:row r="131">
      <x:c r="A131" s="47"/>
      <x:c r="B131" s="48"/>
      <x:c r="C131" s="49"/>
      <x:c r="D131" s="48"/>
      <x:c r="E131" s="48"/>
      <x:c r="F131" s="48"/>
      <x:c r="G131" s="48"/>
      <x:c r="H131" s="50"/>
      <x:c r="I131" s="50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51"/>
      <x:c r="X131" s="48"/>
      <x:c r="Y131" s="48"/>
      <x:c r="Z131" s="48"/>
      <x:c r="AA131" s="48"/>
      <x:c r="AB131" s="48"/>
      <x:c r="AC131" s="48"/>
      <x:c r="AD131" s="48"/>
      <x:c r="AE131" s="48"/>
      <x:c r="AF131" s="48"/>
      <x:c r="AG131" s="48"/>
      <x:c r="AH131" s="48"/>
      <x:c r="AI131" s="48"/>
      <x:c r="AJ131" s="48"/>
      <x:c r="AK131" s="48"/>
      <x:c r="AL131" s="48"/>
      <x:c r="AM131" s="52"/>
    </x:row>
    <x:row r="132">
      <x:c r="A132" s="47"/>
      <x:c r="B132" s="48"/>
      <x:c r="C132" s="49"/>
      <x:c r="D132" s="48"/>
      <x:c r="E132" s="48"/>
      <x:c r="F132" s="48"/>
      <x:c r="G132" s="48"/>
      <x:c r="H132" s="50"/>
      <x:c r="I132" s="50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51"/>
      <x:c r="X132" s="48"/>
      <x:c r="Y132" s="48"/>
      <x:c r="Z132" s="48"/>
      <x:c r="AA132" s="48"/>
      <x:c r="AB132" s="48"/>
      <x:c r="AC132" s="48"/>
      <x:c r="AD132" s="48"/>
      <x:c r="AE132" s="48"/>
      <x:c r="AF132" s="48"/>
      <x:c r="AG132" s="48"/>
      <x:c r="AH132" s="48"/>
      <x:c r="AI132" s="48"/>
      <x:c r="AJ132" s="48"/>
      <x:c r="AK132" s="48"/>
      <x:c r="AL132" s="48"/>
      <x:c r="AM132" s="52"/>
    </x:row>
    <x:row r="133">
      <x:c r="A133" s="47"/>
      <x:c r="B133" s="48"/>
      <x:c r="C133" s="49"/>
      <x:c r="D133" s="48"/>
      <x:c r="E133" s="48"/>
      <x:c r="F133" s="48"/>
      <x:c r="G133" s="48"/>
      <x:c r="H133" s="50"/>
      <x:c r="I133" s="50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51"/>
      <x:c r="X133" s="48"/>
      <x:c r="Y133" s="48"/>
      <x:c r="Z133" s="48"/>
      <x:c r="AA133" s="48"/>
      <x:c r="AB133" s="48"/>
      <x:c r="AC133" s="48"/>
      <x:c r="AD133" s="48"/>
      <x:c r="AE133" s="48"/>
      <x:c r="AF133" s="48"/>
      <x:c r="AG133" s="48"/>
      <x:c r="AH133" s="48"/>
      <x:c r="AI133" s="48"/>
      <x:c r="AJ133" s="48"/>
      <x:c r="AK133" s="48"/>
      <x:c r="AL133" s="48"/>
      <x:c r="AM133" s="52"/>
    </x:row>
    <x:row r="134">
      <x:c r="A134" s="47"/>
      <x:c r="B134" s="48"/>
      <x:c r="C134" s="49"/>
      <x:c r="D134" s="48"/>
      <x:c r="E134" s="48"/>
      <x:c r="F134" s="48"/>
      <x:c r="G134" s="48"/>
      <x:c r="H134" s="50"/>
      <x:c r="I134" s="50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51"/>
      <x:c r="X134" s="48"/>
      <x:c r="Y134" s="48"/>
      <x:c r="Z134" s="48"/>
      <x:c r="AA134" s="48"/>
      <x:c r="AB134" s="48"/>
      <x:c r="AC134" s="48"/>
      <x:c r="AD134" s="48"/>
      <x:c r="AE134" s="48"/>
      <x:c r="AF134" s="48"/>
      <x:c r="AG134" s="48"/>
      <x:c r="AH134" s="48"/>
      <x:c r="AI134" s="48"/>
      <x:c r="AJ134" s="48"/>
      <x:c r="AK134" s="48"/>
      <x:c r="AL134" s="48"/>
      <x:c r="AM134" s="52"/>
    </x:row>
    <x:row r="135">
      <x:c r="A135" s="47"/>
      <x:c r="B135" s="48"/>
      <x:c r="C135" s="49"/>
      <x:c r="D135" s="48"/>
      <x:c r="E135" s="48"/>
      <x:c r="F135" s="48"/>
      <x:c r="G135" s="48"/>
      <x:c r="H135" s="50"/>
      <x:c r="I135" s="50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51"/>
      <x:c r="X135" s="48"/>
      <x:c r="Y135" s="48"/>
      <x:c r="Z135" s="48"/>
      <x:c r="AA135" s="48"/>
      <x:c r="AB135" s="48"/>
      <x:c r="AC135" s="48"/>
      <x:c r="AD135" s="48"/>
      <x:c r="AE135" s="48"/>
      <x:c r="AF135" s="48"/>
      <x:c r="AG135" s="48"/>
      <x:c r="AH135" s="48"/>
      <x:c r="AI135" s="48"/>
      <x:c r="AJ135" s="48"/>
      <x:c r="AK135" s="48"/>
      <x:c r="AL135" s="48"/>
      <x:c r="AM135" s="52"/>
    </x:row>
    <x:row r="136">
      <x:c r="A136" s="47"/>
      <x:c r="B136" s="48"/>
      <x:c r="C136" s="49"/>
      <x:c r="D136" s="48"/>
      <x:c r="E136" s="48"/>
      <x:c r="F136" s="48"/>
      <x:c r="G136" s="48"/>
      <x:c r="H136" s="50"/>
      <x:c r="I136" s="50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51"/>
      <x:c r="X136" s="48"/>
      <x:c r="Y136" s="48"/>
      <x:c r="Z136" s="48"/>
      <x:c r="AA136" s="48"/>
      <x:c r="AB136" s="48"/>
      <x:c r="AC136" s="48"/>
      <x:c r="AD136" s="48"/>
      <x:c r="AE136" s="48"/>
      <x:c r="AF136" s="48"/>
      <x:c r="AG136" s="48"/>
      <x:c r="AH136" s="48"/>
      <x:c r="AI136" s="48"/>
      <x:c r="AJ136" s="48"/>
      <x:c r="AK136" s="48"/>
      <x:c r="AL136" s="48"/>
      <x:c r="AM136" s="52"/>
    </x:row>
    <x:row r="137">
      <x:c r="A137" s="47"/>
      <x:c r="B137" s="48"/>
      <x:c r="C137" s="49"/>
      <x:c r="D137" s="48"/>
      <x:c r="E137" s="48"/>
      <x:c r="F137" s="48"/>
      <x:c r="G137" s="48"/>
      <x:c r="H137" s="50"/>
      <x:c r="I137" s="50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51"/>
      <x:c r="X137" s="48"/>
      <x:c r="Y137" s="48"/>
      <x:c r="Z137" s="48"/>
      <x:c r="AA137" s="48"/>
      <x:c r="AB137" s="48"/>
      <x:c r="AC137" s="48"/>
      <x:c r="AD137" s="48"/>
      <x:c r="AE137" s="48"/>
      <x:c r="AF137" s="48"/>
      <x:c r="AG137" s="48"/>
      <x:c r="AH137" s="48"/>
      <x:c r="AI137" s="48"/>
      <x:c r="AJ137" s="48"/>
      <x:c r="AK137" s="48"/>
      <x:c r="AL137" s="48"/>
      <x:c r="AM137" s="52"/>
    </x:row>
    <x:row r="138">
      <x:c r="A138" s="47"/>
      <x:c r="B138" s="48"/>
      <x:c r="C138" s="49"/>
      <x:c r="D138" s="48"/>
      <x:c r="E138" s="48"/>
      <x:c r="F138" s="48"/>
      <x:c r="G138" s="48"/>
      <x:c r="H138" s="50"/>
      <x:c r="I138" s="50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51"/>
      <x:c r="X138" s="48"/>
      <x:c r="Y138" s="48"/>
      <x:c r="Z138" s="48"/>
      <x:c r="AA138" s="48"/>
      <x:c r="AB138" s="48"/>
      <x:c r="AC138" s="48"/>
      <x:c r="AD138" s="48"/>
      <x:c r="AE138" s="48"/>
      <x:c r="AF138" s="48"/>
      <x:c r="AG138" s="48"/>
      <x:c r="AH138" s="48"/>
      <x:c r="AI138" s="48"/>
      <x:c r="AJ138" s="48"/>
      <x:c r="AK138" s="48"/>
      <x:c r="AL138" s="48"/>
      <x:c r="AM138" s="52"/>
    </x:row>
    <x:row r="139">
      <x:c r="A139" s="47"/>
      <x:c r="B139" s="48"/>
      <x:c r="C139" s="49"/>
      <x:c r="D139" s="48"/>
      <x:c r="E139" s="48"/>
      <x:c r="F139" s="48"/>
      <x:c r="G139" s="48"/>
      <x:c r="H139" s="50"/>
      <x:c r="I139" s="50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51"/>
      <x:c r="X139" s="48"/>
      <x:c r="Y139" s="48"/>
      <x:c r="Z139" s="48"/>
      <x:c r="AA139" s="48"/>
      <x:c r="AB139" s="48"/>
      <x:c r="AC139" s="48"/>
      <x:c r="AD139" s="48"/>
      <x:c r="AE139" s="48"/>
      <x:c r="AF139" s="48"/>
      <x:c r="AG139" s="48"/>
      <x:c r="AH139" s="48"/>
      <x:c r="AI139" s="48"/>
      <x:c r="AJ139" s="48"/>
      <x:c r="AK139" s="48"/>
      <x:c r="AL139" s="48"/>
      <x:c r="AM139" s="52"/>
    </x:row>
    <x:row r="140">
      <x:c r="A140" s="47"/>
      <x:c r="B140" s="48"/>
      <x:c r="C140" s="49"/>
      <x:c r="D140" s="48"/>
      <x:c r="E140" s="48"/>
      <x:c r="F140" s="48"/>
      <x:c r="G140" s="48"/>
      <x:c r="H140" s="50"/>
      <x:c r="I140" s="50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51"/>
      <x:c r="X140" s="48"/>
      <x:c r="Y140" s="48"/>
      <x:c r="Z140" s="48"/>
      <x:c r="AA140" s="48"/>
      <x:c r="AB140" s="48"/>
      <x:c r="AC140" s="48"/>
      <x:c r="AD140" s="48"/>
      <x:c r="AE140" s="48"/>
      <x:c r="AF140" s="48"/>
      <x:c r="AG140" s="48"/>
      <x:c r="AH140" s="48"/>
      <x:c r="AI140" s="48"/>
      <x:c r="AJ140" s="48"/>
      <x:c r="AK140" s="48"/>
      <x:c r="AL140" s="48"/>
      <x:c r="AM140" s="52"/>
    </x:row>
    <x:row r="141">
      <x:c r="A141" s="47"/>
      <x:c r="B141" s="48"/>
      <x:c r="C141" s="49"/>
      <x:c r="D141" s="48"/>
      <x:c r="E141" s="48"/>
      <x:c r="F141" s="48"/>
      <x:c r="G141" s="48"/>
      <x:c r="H141" s="50"/>
      <x:c r="I141" s="50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51"/>
      <x:c r="X141" s="48"/>
      <x:c r="Y141" s="48"/>
      <x:c r="Z141" s="48"/>
      <x:c r="AA141" s="48"/>
      <x:c r="AB141" s="48"/>
      <x:c r="AC141" s="48"/>
      <x:c r="AD141" s="48"/>
      <x:c r="AE141" s="48"/>
      <x:c r="AF141" s="48"/>
      <x:c r="AG141" s="48"/>
      <x:c r="AH141" s="48"/>
      <x:c r="AI141" s="48"/>
      <x:c r="AJ141" s="48"/>
      <x:c r="AK141" s="48"/>
      <x:c r="AL141" s="48"/>
      <x:c r="AM141" s="52"/>
    </x:row>
    <x:row r="142">
      <x:c r="A142" s="47"/>
      <x:c r="B142" s="48"/>
      <x:c r="C142" s="49"/>
      <x:c r="D142" s="48"/>
      <x:c r="E142" s="48"/>
      <x:c r="F142" s="48"/>
      <x:c r="G142" s="48"/>
      <x:c r="H142" s="50"/>
      <x:c r="I142" s="50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51"/>
      <x:c r="X142" s="48"/>
      <x:c r="Y142" s="48"/>
      <x:c r="Z142" s="48"/>
      <x:c r="AA142" s="48"/>
      <x:c r="AB142" s="48"/>
      <x:c r="AC142" s="48"/>
      <x:c r="AD142" s="48"/>
      <x:c r="AE142" s="48"/>
      <x:c r="AF142" s="48"/>
      <x:c r="AG142" s="48"/>
      <x:c r="AH142" s="48"/>
      <x:c r="AI142" s="48"/>
      <x:c r="AJ142" s="48"/>
      <x:c r="AK142" s="48"/>
      <x:c r="AL142" s="48"/>
      <x:c r="AM142" s="52"/>
    </x:row>
    <x:row r="143">
      <x:c r="A143" s="47"/>
      <x:c r="B143" s="48"/>
      <x:c r="C143" s="49"/>
      <x:c r="D143" s="48"/>
      <x:c r="E143" s="48"/>
      <x:c r="F143" s="48"/>
      <x:c r="G143" s="48"/>
      <x:c r="H143" s="50"/>
      <x:c r="I143" s="50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51"/>
      <x:c r="X143" s="48"/>
      <x:c r="Y143" s="48"/>
      <x:c r="Z143" s="48"/>
      <x:c r="AA143" s="48"/>
      <x:c r="AB143" s="48"/>
      <x:c r="AC143" s="48"/>
      <x:c r="AD143" s="48"/>
      <x:c r="AE143" s="48"/>
      <x:c r="AF143" s="48"/>
      <x:c r="AG143" s="48"/>
      <x:c r="AH143" s="48"/>
      <x:c r="AI143" s="48"/>
      <x:c r="AJ143" s="48"/>
      <x:c r="AK143" s="48"/>
      <x:c r="AL143" s="48"/>
      <x:c r="AM143" s="52"/>
    </x:row>
    <x:row r="144">
      <x:c r="A144" s="47"/>
      <x:c r="B144" s="48"/>
      <x:c r="C144" s="49"/>
      <x:c r="D144" s="48"/>
      <x:c r="E144" s="48"/>
      <x:c r="F144" s="48"/>
      <x:c r="G144" s="48"/>
      <x:c r="H144" s="50"/>
      <x:c r="I144" s="50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51"/>
      <x:c r="X144" s="48"/>
      <x:c r="Y144" s="48"/>
      <x:c r="Z144" s="48"/>
      <x:c r="AA144" s="48"/>
      <x:c r="AB144" s="48"/>
      <x:c r="AC144" s="48"/>
      <x:c r="AD144" s="48"/>
      <x:c r="AE144" s="48"/>
      <x:c r="AF144" s="48"/>
      <x:c r="AG144" s="48"/>
      <x:c r="AH144" s="48"/>
      <x:c r="AI144" s="48"/>
      <x:c r="AJ144" s="48"/>
      <x:c r="AK144" s="48"/>
      <x:c r="AL144" s="48"/>
      <x:c r="AM144" s="52"/>
    </x:row>
    <x:row r="145">
      <x:c r="A145" s="47"/>
      <x:c r="B145" s="48"/>
      <x:c r="C145" s="49"/>
      <x:c r="D145" s="48"/>
      <x:c r="E145" s="48"/>
      <x:c r="F145" s="48"/>
      <x:c r="G145" s="48"/>
      <x:c r="H145" s="50"/>
      <x:c r="I145" s="50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51"/>
      <x:c r="X145" s="48"/>
      <x:c r="Y145" s="48"/>
      <x:c r="Z145" s="48"/>
      <x:c r="AA145" s="48"/>
      <x:c r="AB145" s="48"/>
      <x:c r="AC145" s="48"/>
      <x:c r="AD145" s="48"/>
      <x:c r="AE145" s="48"/>
      <x:c r="AF145" s="48"/>
      <x:c r="AG145" s="48"/>
      <x:c r="AH145" s="48"/>
      <x:c r="AI145" s="48"/>
      <x:c r="AJ145" s="48"/>
      <x:c r="AK145" s="48"/>
      <x:c r="AL145" s="48"/>
      <x:c r="AM145" s="52"/>
    </x:row>
    <x:row r="146">
      <x:c r="A146" s="47"/>
      <x:c r="B146" s="48"/>
      <x:c r="C146" s="49"/>
      <x:c r="D146" s="48"/>
      <x:c r="E146" s="48"/>
      <x:c r="F146" s="48"/>
      <x:c r="G146" s="48"/>
      <x:c r="H146" s="50"/>
      <x:c r="I146" s="50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51"/>
      <x:c r="X146" s="48"/>
      <x:c r="Y146" s="48"/>
      <x:c r="Z146" s="48"/>
      <x:c r="AA146" s="48"/>
      <x:c r="AB146" s="48"/>
      <x:c r="AC146" s="48"/>
      <x:c r="AD146" s="48"/>
      <x:c r="AE146" s="48"/>
      <x:c r="AF146" s="48"/>
      <x:c r="AG146" s="48"/>
      <x:c r="AH146" s="48"/>
      <x:c r="AI146" s="48"/>
      <x:c r="AJ146" s="48"/>
      <x:c r="AK146" s="48"/>
      <x:c r="AL146" s="48"/>
      <x:c r="AM146" s="52"/>
    </x:row>
    <x:row r="147">
      <x:c r="A147" s="47"/>
      <x:c r="B147" s="48"/>
      <x:c r="C147" s="49"/>
      <x:c r="D147" s="48"/>
      <x:c r="E147" s="48"/>
      <x:c r="F147" s="48"/>
      <x:c r="G147" s="48"/>
      <x:c r="H147" s="50"/>
      <x:c r="I147" s="50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51"/>
      <x:c r="X147" s="48"/>
      <x:c r="Y147" s="48"/>
      <x:c r="Z147" s="48"/>
      <x:c r="AA147" s="48"/>
      <x:c r="AB147" s="48"/>
      <x:c r="AC147" s="48"/>
      <x:c r="AD147" s="48"/>
      <x:c r="AE147" s="48"/>
      <x:c r="AF147" s="48"/>
      <x:c r="AG147" s="48"/>
      <x:c r="AH147" s="48"/>
      <x:c r="AI147" s="48"/>
      <x:c r="AJ147" s="48"/>
      <x:c r="AK147" s="48"/>
      <x:c r="AL147" s="48"/>
      <x:c r="AM147" s="52"/>
    </x:row>
    <x:row r="148">
      <x:c r="A148" s="47"/>
      <x:c r="B148" s="48"/>
      <x:c r="C148" s="49"/>
      <x:c r="D148" s="48"/>
      <x:c r="E148" s="48"/>
      <x:c r="F148" s="48"/>
      <x:c r="G148" s="48"/>
      <x:c r="H148" s="50"/>
      <x:c r="I148" s="50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51"/>
      <x:c r="X148" s="48"/>
      <x:c r="Y148" s="48"/>
      <x:c r="Z148" s="48"/>
      <x:c r="AA148" s="48"/>
      <x:c r="AB148" s="48"/>
      <x:c r="AC148" s="48"/>
      <x:c r="AD148" s="48"/>
      <x:c r="AE148" s="48"/>
      <x:c r="AF148" s="48"/>
      <x:c r="AG148" s="48"/>
      <x:c r="AH148" s="48"/>
      <x:c r="AI148" s="48"/>
      <x:c r="AJ148" s="48"/>
      <x:c r="AK148" s="48"/>
      <x:c r="AL148" s="48"/>
      <x:c r="AM148" s="52"/>
    </x:row>
    <x:row r="149">
      <x:c r="A149" s="47"/>
      <x:c r="B149" s="48"/>
      <x:c r="C149" s="49"/>
      <x:c r="D149" s="48"/>
      <x:c r="E149" s="48"/>
      <x:c r="F149" s="48"/>
      <x:c r="G149" s="48"/>
      <x:c r="H149" s="50"/>
      <x:c r="I149" s="50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51"/>
      <x:c r="X149" s="48"/>
      <x:c r="Y149" s="48"/>
      <x:c r="Z149" s="48"/>
      <x:c r="AA149" s="48"/>
      <x:c r="AB149" s="48"/>
      <x:c r="AC149" s="48"/>
      <x:c r="AD149" s="48"/>
      <x:c r="AE149" s="48"/>
      <x:c r="AF149" s="48"/>
      <x:c r="AG149" s="48"/>
      <x:c r="AH149" s="48"/>
      <x:c r="AI149" s="48"/>
      <x:c r="AJ149" s="48"/>
      <x:c r="AK149" s="48"/>
      <x:c r="AL149" s="48"/>
      <x:c r="AM149" s="52"/>
    </x:row>
    <x:row r="150">
      <x:c r="A150" s="47"/>
      <x:c r="B150" s="48"/>
      <x:c r="C150" s="49"/>
      <x:c r="D150" s="48"/>
      <x:c r="E150" s="48"/>
      <x:c r="F150" s="48"/>
      <x:c r="G150" s="48"/>
      <x:c r="H150" s="50"/>
      <x:c r="I150" s="50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51"/>
      <x:c r="X150" s="48"/>
      <x:c r="Y150" s="48"/>
      <x:c r="Z150" s="48"/>
      <x:c r="AA150" s="48"/>
      <x:c r="AB150" s="48"/>
      <x:c r="AC150" s="48"/>
      <x:c r="AD150" s="48"/>
      <x:c r="AE150" s="48"/>
      <x:c r="AF150" s="48"/>
      <x:c r="AG150" s="48"/>
      <x:c r="AH150" s="48"/>
      <x:c r="AI150" s="48"/>
      <x:c r="AJ150" s="48"/>
      <x:c r="AK150" s="48"/>
      <x:c r="AL150" s="48"/>
      <x:c r="AM150" s="52"/>
    </x:row>
    <x:row r="151">
      <x:c r="A151" s="47"/>
      <x:c r="B151" s="48"/>
      <x:c r="C151" s="49"/>
      <x:c r="D151" s="48"/>
      <x:c r="E151" s="48"/>
      <x:c r="F151" s="48"/>
      <x:c r="G151" s="48"/>
      <x:c r="H151" s="50"/>
      <x:c r="I151" s="50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51"/>
      <x:c r="X151" s="48"/>
      <x:c r="Y151" s="48"/>
      <x:c r="Z151" s="48"/>
      <x:c r="AA151" s="48"/>
      <x:c r="AB151" s="48"/>
      <x:c r="AC151" s="48"/>
      <x:c r="AD151" s="48"/>
      <x:c r="AE151" s="48"/>
      <x:c r="AF151" s="48"/>
      <x:c r="AG151" s="48"/>
      <x:c r="AH151" s="48"/>
      <x:c r="AI151" s="48"/>
      <x:c r="AJ151" s="48"/>
      <x:c r="AK151" s="48"/>
      <x:c r="AL151" s="48"/>
      <x:c r="AM151" s="52"/>
    </x:row>
    <x:row r="152">
      <x:c r="A152" s="47"/>
      <x:c r="B152" s="48"/>
      <x:c r="C152" s="49"/>
      <x:c r="D152" s="48"/>
      <x:c r="E152" s="48"/>
      <x:c r="F152" s="48"/>
      <x:c r="G152" s="48"/>
      <x:c r="H152" s="50"/>
      <x:c r="I152" s="50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51"/>
      <x:c r="X152" s="48"/>
      <x:c r="Y152" s="48"/>
      <x:c r="Z152" s="48"/>
      <x:c r="AA152" s="48"/>
      <x:c r="AB152" s="48"/>
      <x:c r="AC152" s="48"/>
      <x:c r="AD152" s="48"/>
      <x:c r="AE152" s="48"/>
      <x:c r="AF152" s="48"/>
      <x:c r="AG152" s="48"/>
      <x:c r="AH152" s="48"/>
      <x:c r="AI152" s="48"/>
      <x:c r="AJ152" s="48"/>
      <x:c r="AK152" s="48"/>
      <x:c r="AL152" s="48"/>
      <x:c r="AM152" s="52"/>
    </x:row>
    <x:row r="153">
      <x:c r="A153" s="47"/>
      <x:c r="B153" s="48"/>
      <x:c r="C153" s="49"/>
      <x:c r="D153" s="48"/>
      <x:c r="E153" s="48"/>
      <x:c r="F153" s="48"/>
      <x:c r="G153" s="48"/>
      <x:c r="H153" s="50"/>
      <x:c r="I153" s="50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51"/>
      <x:c r="X153" s="48"/>
      <x:c r="Y153" s="48"/>
      <x:c r="Z153" s="48"/>
      <x:c r="AA153" s="48"/>
      <x:c r="AB153" s="48"/>
      <x:c r="AC153" s="48"/>
      <x:c r="AD153" s="48"/>
      <x:c r="AE153" s="48"/>
      <x:c r="AF153" s="48"/>
      <x:c r="AG153" s="48"/>
      <x:c r="AH153" s="48"/>
      <x:c r="AI153" s="48"/>
      <x:c r="AJ153" s="48"/>
      <x:c r="AK153" s="48"/>
      <x:c r="AL153" s="48"/>
      <x:c r="AM153" s="52"/>
    </x:row>
    <x:row r="154">
      <x:c r="A154" s="47"/>
      <x:c r="B154" s="48"/>
      <x:c r="C154" s="49"/>
      <x:c r="D154" s="48"/>
      <x:c r="E154" s="48"/>
      <x:c r="F154" s="48"/>
      <x:c r="G154" s="48"/>
      <x:c r="H154" s="50"/>
      <x:c r="I154" s="50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51"/>
      <x:c r="X154" s="48"/>
      <x:c r="Y154" s="48"/>
      <x:c r="Z154" s="48"/>
      <x:c r="AA154" s="48"/>
      <x:c r="AB154" s="48"/>
      <x:c r="AC154" s="48"/>
      <x:c r="AD154" s="48"/>
      <x:c r="AE154" s="48"/>
      <x:c r="AF154" s="48"/>
      <x:c r="AG154" s="48"/>
      <x:c r="AH154" s="48"/>
      <x:c r="AI154" s="48"/>
      <x:c r="AJ154" s="48"/>
      <x:c r="AK154" s="48"/>
      <x:c r="AL154" s="48"/>
      <x:c r="AM154" s="52"/>
    </x:row>
    <x:row r="155">
      <x:c r="A155" s="47"/>
      <x:c r="B155" s="48"/>
      <x:c r="C155" s="49"/>
      <x:c r="D155" s="48"/>
      <x:c r="E155" s="48"/>
      <x:c r="F155" s="48"/>
      <x:c r="G155" s="48"/>
      <x:c r="H155" s="50"/>
      <x:c r="I155" s="50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51"/>
      <x:c r="X155" s="48"/>
      <x:c r="Y155" s="48"/>
      <x:c r="Z155" s="48"/>
      <x:c r="AA155" s="48"/>
      <x:c r="AB155" s="48"/>
      <x:c r="AC155" s="48"/>
      <x:c r="AD155" s="48"/>
      <x:c r="AE155" s="48"/>
      <x:c r="AF155" s="48"/>
      <x:c r="AG155" s="48"/>
      <x:c r="AH155" s="48"/>
      <x:c r="AI155" s="48"/>
      <x:c r="AJ155" s="48"/>
      <x:c r="AK155" s="48"/>
      <x:c r="AL155" s="48"/>
      <x:c r="AM155" s="52"/>
    </x:row>
    <x:row r="156">
      <x:c r="A156" s="47"/>
      <x:c r="B156" s="48"/>
      <x:c r="C156" s="49"/>
      <x:c r="D156" s="48"/>
      <x:c r="E156" s="48"/>
      <x:c r="F156" s="48"/>
      <x:c r="G156" s="48"/>
      <x:c r="H156" s="50"/>
      <x:c r="I156" s="50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51"/>
      <x:c r="X156" s="48"/>
      <x:c r="Y156" s="48"/>
      <x:c r="Z156" s="48"/>
      <x:c r="AA156" s="48"/>
      <x:c r="AB156" s="48"/>
      <x:c r="AC156" s="48"/>
      <x:c r="AD156" s="48"/>
      <x:c r="AE156" s="48"/>
      <x:c r="AF156" s="48"/>
      <x:c r="AG156" s="48"/>
      <x:c r="AH156" s="48"/>
      <x:c r="AI156" s="48"/>
      <x:c r="AJ156" s="48"/>
      <x:c r="AK156" s="48"/>
      <x:c r="AL156" s="48"/>
      <x:c r="AM156" s="52"/>
    </x:row>
    <x:row r="157">
      <x:c r="A157" s="47"/>
      <x:c r="B157" s="48"/>
      <x:c r="C157" s="49"/>
      <x:c r="D157" s="48"/>
      <x:c r="E157" s="48"/>
      <x:c r="F157" s="48"/>
      <x:c r="G157" s="48"/>
      <x:c r="H157" s="50"/>
      <x:c r="I157" s="50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51"/>
      <x:c r="X157" s="48"/>
      <x:c r="Y157" s="48"/>
      <x:c r="Z157" s="48"/>
      <x:c r="AA157" s="48"/>
      <x:c r="AB157" s="48"/>
      <x:c r="AC157" s="48"/>
      <x:c r="AD157" s="48"/>
      <x:c r="AE157" s="48"/>
      <x:c r="AF157" s="48"/>
      <x:c r="AG157" s="48"/>
      <x:c r="AH157" s="48"/>
      <x:c r="AI157" s="48"/>
      <x:c r="AJ157" s="48"/>
      <x:c r="AK157" s="48"/>
      <x:c r="AL157" s="48"/>
      <x:c r="AM157" s="52"/>
    </x:row>
    <x:row r="158">
      <x:c r="A158" s="47"/>
      <x:c r="B158" s="48"/>
      <x:c r="C158" s="49"/>
      <x:c r="D158" s="48"/>
      <x:c r="E158" s="48"/>
      <x:c r="F158" s="48"/>
      <x:c r="G158" s="48"/>
      <x:c r="H158" s="50"/>
      <x:c r="I158" s="50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51"/>
      <x:c r="X158" s="48"/>
      <x:c r="Y158" s="48"/>
      <x:c r="Z158" s="48"/>
      <x:c r="AA158" s="48"/>
      <x:c r="AB158" s="48"/>
      <x:c r="AC158" s="48"/>
      <x:c r="AD158" s="48"/>
      <x:c r="AE158" s="48"/>
      <x:c r="AF158" s="48"/>
      <x:c r="AG158" s="48"/>
      <x:c r="AH158" s="48"/>
      <x:c r="AI158" s="48"/>
      <x:c r="AJ158" s="48"/>
      <x:c r="AK158" s="48"/>
      <x:c r="AL158" s="48"/>
      <x:c r="AM158" s="52"/>
    </x:row>
    <x:row r="159">
      <x:c r="A159" s="47"/>
      <x:c r="B159" s="48"/>
      <x:c r="C159" s="49"/>
      <x:c r="D159" s="48"/>
      <x:c r="E159" s="48"/>
      <x:c r="F159" s="48"/>
      <x:c r="G159" s="48"/>
      <x:c r="H159" s="50"/>
      <x:c r="I159" s="50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51"/>
      <x:c r="X159" s="48"/>
      <x:c r="Y159" s="48"/>
      <x:c r="Z159" s="48"/>
      <x:c r="AA159" s="48"/>
      <x:c r="AB159" s="48"/>
      <x:c r="AC159" s="48"/>
      <x:c r="AD159" s="48"/>
      <x:c r="AE159" s="48"/>
      <x:c r="AF159" s="48"/>
      <x:c r="AG159" s="48"/>
      <x:c r="AH159" s="48"/>
      <x:c r="AI159" s="48"/>
      <x:c r="AJ159" s="48"/>
      <x:c r="AK159" s="48"/>
      <x:c r="AL159" s="48"/>
      <x:c r="AM159" s="52"/>
    </x:row>
    <x:row r="160">
      <x:c r="A160" s="47"/>
      <x:c r="B160" s="48"/>
      <x:c r="C160" s="49"/>
      <x:c r="D160" s="48"/>
      <x:c r="E160" s="48"/>
      <x:c r="F160" s="48"/>
      <x:c r="G160" s="48"/>
      <x:c r="H160" s="50"/>
      <x:c r="I160" s="50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51"/>
      <x:c r="X160" s="48"/>
      <x:c r="Y160" s="48"/>
      <x:c r="Z160" s="48"/>
      <x:c r="AA160" s="48"/>
      <x:c r="AB160" s="48"/>
      <x:c r="AC160" s="48"/>
      <x:c r="AD160" s="48"/>
      <x:c r="AE160" s="48"/>
      <x:c r="AF160" s="48"/>
      <x:c r="AG160" s="48"/>
      <x:c r="AH160" s="48"/>
      <x:c r="AI160" s="48"/>
      <x:c r="AJ160" s="48"/>
      <x:c r="AK160" s="48"/>
      <x:c r="AL160" s="48"/>
      <x:c r="AM160" s="52"/>
    </x:row>
    <x:row r="161">
      <x:c r="A161" s="47"/>
      <x:c r="B161" s="48"/>
      <x:c r="C161" s="49"/>
      <x:c r="D161" s="48"/>
      <x:c r="E161" s="48"/>
      <x:c r="F161" s="48"/>
      <x:c r="G161" s="48"/>
      <x:c r="H161" s="50"/>
      <x:c r="I161" s="50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51"/>
      <x:c r="X161" s="48"/>
      <x:c r="Y161" s="48"/>
      <x:c r="Z161" s="48"/>
      <x:c r="AA161" s="48"/>
      <x:c r="AB161" s="48"/>
      <x:c r="AC161" s="48"/>
      <x:c r="AD161" s="48"/>
      <x:c r="AE161" s="48"/>
      <x:c r="AF161" s="48"/>
      <x:c r="AG161" s="48"/>
      <x:c r="AH161" s="48"/>
      <x:c r="AI161" s="48"/>
      <x:c r="AJ161" s="48"/>
      <x:c r="AK161" s="48"/>
      <x:c r="AL161" s="48"/>
      <x:c r="AM161" s="52"/>
    </x:row>
    <x:row r="162">
      <x:c r="A162" s="47"/>
      <x:c r="B162" s="48"/>
      <x:c r="C162" s="49"/>
      <x:c r="D162" s="48"/>
      <x:c r="E162" s="48"/>
      <x:c r="F162" s="48"/>
      <x:c r="G162" s="48"/>
      <x:c r="H162" s="50"/>
      <x:c r="I162" s="50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51"/>
      <x:c r="X162" s="48"/>
      <x:c r="Y162" s="48"/>
      <x:c r="Z162" s="48"/>
      <x:c r="AA162" s="48"/>
      <x:c r="AB162" s="48"/>
      <x:c r="AC162" s="48"/>
      <x:c r="AD162" s="48"/>
      <x:c r="AE162" s="48"/>
      <x:c r="AF162" s="48"/>
      <x:c r="AG162" s="48"/>
      <x:c r="AH162" s="48"/>
      <x:c r="AI162" s="48"/>
      <x:c r="AJ162" s="48"/>
      <x:c r="AK162" s="48"/>
      <x:c r="AL162" s="48"/>
      <x:c r="AM162" s="52"/>
    </x:row>
    <x:row r="163">
      <x:c r="A163" s="47"/>
      <x:c r="B163" s="48"/>
      <x:c r="C163" s="49"/>
      <x:c r="D163" s="48"/>
      <x:c r="E163" s="48"/>
      <x:c r="F163" s="48"/>
      <x:c r="G163" s="48"/>
      <x:c r="H163" s="50"/>
      <x:c r="I163" s="50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51"/>
      <x:c r="X163" s="48"/>
      <x:c r="Y163" s="48"/>
      <x:c r="Z163" s="48"/>
      <x:c r="AA163" s="48"/>
      <x:c r="AB163" s="48"/>
      <x:c r="AC163" s="48"/>
      <x:c r="AD163" s="48"/>
      <x:c r="AE163" s="48"/>
      <x:c r="AF163" s="48"/>
      <x:c r="AG163" s="48"/>
      <x:c r="AH163" s="48"/>
      <x:c r="AI163" s="48"/>
      <x:c r="AJ163" s="48"/>
      <x:c r="AK163" s="48"/>
      <x:c r="AL163" s="48"/>
      <x:c r="AM163" s="52"/>
    </x:row>
    <x:row r="164">
      <x:c r="A164" s="47"/>
      <x:c r="B164" s="48"/>
      <x:c r="C164" s="49"/>
      <x:c r="D164" s="48"/>
      <x:c r="E164" s="48"/>
      <x:c r="F164" s="48"/>
      <x:c r="G164" s="48"/>
      <x:c r="H164" s="50"/>
      <x:c r="I164" s="50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51"/>
      <x:c r="X164" s="48"/>
      <x:c r="Y164" s="48"/>
      <x:c r="Z164" s="48"/>
      <x:c r="AA164" s="48"/>
      <x:c r="AB164" s="48"/>
      <x:c r="AC164" s="48"/>
      <x:c r="AD164" s="48"/>
      <x:c r="AE164" s="48"/>
      <x:c r="AF164" s="48"/>
      <x:c r="AG164" s="48"/>
      <x:c r="AH164" s="48"/>
      <x:c r="AI164" s="48"/>
      <x:c r="AJ164" s="48"/>
      <x:c r="AK164" s="48"/>
      <x:c r="AL164" s="48"/>
      <x:c r="AM164" s="52"/>
    </x:row>
    <x:row r="165">
      <x:c r="A165" s="47"/>
      <x:c r="B165" s="48"/>
      <x:c r="C165" s="49"/>
      <x:c r="D165" s="48"/>
      <x:c r="E165" s="48"/>
      <x:c r="F165" s="48"/>
      <x:c r="G165" s="48"/>
      <x:c r="H165" s="50"/>
      <x:c r="I165" s="50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51"/>
      <x:c r="X165" s="48"/>
      <x:c r="Y165" s="48"/>
      <x:c r="Z165" s="48"/>
      <x:c r="AA165" s="48"/>
      <x:c r="AB165" s="48"/>
      <x:c r="AC165" s="48"/>
      <x:c r="AD165" s="48"/>
      <x:c r="AE165" s="48"/>
      <x:c r="AF165" s="48"/>
      <x:c r="AG165" s="48"/>
      <x:c r="AH165" s="48"/>
      <x:c r="AI165" s="48"/>
      <x:c r="AJ165" s="48"/>
      <x:c r="AK165" s="48"/>
      <x:c r="AL165" s="48"/>
      <x:c r="AM165" s="52"/>
    </x:row>
    <x:row r="166">
      <x:c r="A166" s="47"/>
      <x:c r="B166" s="48"/>
      <x:c r="C166" s="49"/>
      <x:c r="D166" s="48"/>
      <x:c r="E166" s="48"/>
      <x:c r="F166" s="48"/>
      <x:c r="G166" s="48"/>
      <x:c r="H166" s="50"/>
      <x:c r="I166" s="50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51"/>
      <x:c r="X166" s="48"/>
      <x:c r="Y166" s="48"/>
      <x:c r="Z166" s="48"/>
      <x:c r="AA166" s="48"/>
      <x:c r="AB166" s="48"/>
      <x:c r="AC166" s="48"/>
      <x:c r="AD166" s="48"/>
      <x:c r="AE166" s="48"/>
      <x:c r="AF166" s="48"/>
      <x:c r="AG166" s="48"/>
      <x:c r="AH166" s="48"/>
      <x:c r="AI166" s="48"/>
      <x:c r="AJ166" s="48"/>
      <x:c r="AK166" s="48"/>
      <x:c r="AL166" s="48"/>
      <x:c r="AM166" s="52"/>
    </x:row>
    <x:row r="167">
      <x:c r="A167" s="47"/>
      <x:c r="B167" s="48"/>
      <x:c r="C167" s="49"/>
      <x:c r="D167" s="48"/>
      <x:c r="E167" s="48"/>
      <x:c r="F167" s="48"/>
      <x:c r="G167" s="48"/>
      <x:c r="H167" s="50"/>
      <x:c r="I167" s="50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51"/>
      <x:c r="X167" s="48"/>
      <x:c r="Y167" s="48"/>
      <x:c r="Z167" s="48"/>
      <x:c r="AA167" s="48"/>
      <x:c r="AB167" s="48"/>
      <x:c r="AC167" s="48"/>
      <x:c r="AD167" s="48"/>
      <x:c r="AE167" s="48"/>
      <x:c r="AF167" s="48"/>
      <x:c r="AG167" s="48"/>
      <x:c r="AH167" s="48"/>
      <x:c r="AI167" s="48"/>
      <x:c r="AJ167" s="48"/>
      <x:c r="AK167" s="48"/>
      <x:c r="AL167" s="48"/>
      <x:c r="AM167" s="52"/>
    </x:row>
    <x:row r="168">
      <x:c r="A168" s="47"/>
      <x:c r="B168" s="48"/>
      <x:c r="C168" s="49"/>
      <x:c r="D168" s="48"/>
      <x:c r="E168" s="48"/>
      <x:c r="F168" s="48"/>
      <x:c r="G168" s="48"/>
      <x:c r="H168" s="50"/>
      <x:c r="I168" s="50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51"/>
      <x:c r="X168" s="48"/>
      <x:c r="Y168" s="48"/>
      <x:c r="Z168" s="48"/>
      <x:c r="AA168" s="48"/>
      <x:c r="AB168" s="48"/>
      <x:c r="AC168" s="48"/>
      <x:c r="AD168" s="48"/>
      <x:c r="AE168" s="48"/>
      <x:c r="AF168" s="48"/>
      <x:c r="AG168" s="48"/>
      <x:c r="AH168" s="48"/>
      <x:c r="AI168" s="48"/>
      <x:c r="AJ168" s="48"/>
      <x:c r="AK168" s="48"/>
      <x:c r="AL168" s="48"/>
      <x:c r="AM168" s="52"/>
    </x:row>
    <x:row r="169">
      <x:c r="A169" s="47"/>
      <x:c r="B169" s="48"/>
      <x:c r="C169" s="49"/>
      <x:c r="D169" s="48"/>
      <x:c r="E169" s="48"/>
      <x:c r="F169" s="48"/>
      <x:c r="G169" s="48"/>
      <x:c r="H169" s="50"/>
      <x:c r="I169" s="50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51"/>
      <x:c r="X169" s="48"/>
      <x:c r="Y169" s="48"/>
      <x:c r="Z169" s="48"/>
      <x:c r="AA169" s="48"/>
      <x:c r="AB169" s="48"/>
      <x:c r="AC169" s="48"/>
      <x:c r="AD169" s="48"/>
      <x:c r="AE169" s="48"/>
      <x:c r="AF169" s="48"/>
      <x:c r="AG169" s="48"/>
      <x:c r="AH169" s="48"/>
      <x:c r="AI169" s="48"/>
      <x:c r="AJ169" s="48"/>
      <x:c r="AK169" s="48"/>
      <x:c r="AL169" s="48"/>
      <x:c r="AM169" s="52"/>
    </x:row>
    <x:row r="170">
      <x:c r="A170" s="47"/>
      <x:c r="B170" s="48"/>
      <x:c r="C170" s="49"/>
      <x:c r="D170" s="48"/>
      <x:c r="E170" s="48"/>
      <x:c r="F170" s="48"/>
      <x:c r="G170" s="48"/>
      <x:c r="H170" s="50"/>
      <x:c r="I170" s="50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51"/>
      <x:c r="X170" s="48"/>
      <x:c r="Y170" s="48"/>
      <x:c r="Z170" s="48"/>
      <x:c r="AA170" s="48"/>
      <x:c r="AB170" s="48"/>
      <x:c r="AC170" s="48"/>
      <x:c r="AD170" s="48"/>
      <x:c r="AE170" s="48"/>
      <x:c r="AF170" s="48"/>
      <x:c r="AG170" s="48"/>
      <x:c r="AH170" s="48"/>
      <x:c r="AI170" s="48"/>
      <x:c r="AJ170" s="48"/>
      <x:c r="AK170" s="48"/>
      <x:c r="AL170" s="48"/>
      <x:c r="AM170" s="52"/>
    </x:row>
    <x:row r="171">
      <x:c r="A171" s="47"/>
      <x:c r="B171" s="48"/>
      <x:c r="C171" s="49"/>
      <x:c r="D171" s="48"/>
      <x:c r="E171" s="48"/>
      <x:c r="F171" s="48"/>
      <x:c r="G171" s="48"/>
      <x:c r="H171" s="50"/>
      <x:c r="I171" s="50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51"/>
      <x:c r="X171" s="48"/>
      <x:c r="Y171" s="48"/>
      <x:c r="Z171" s="48"/>
      <x:c r="AA171" s="48"/>
      <x:c r="AB171" s="48"/>
      <x:c r="AC171" s="48"/>
      <x:c r="AD171" s="48"/>
      <x:c r="AE171" s="48"/>
      <x:c r="AF171" s="48"/>
      <x:c r="AG171" s="48"/>
      <x:c r="AH171" s="48"/>
      <x:c r="AI171" s="48"/>
      <x:c r="AJ171" s="48"/>
      <x:c r="AK171" s="48"/>
      <x:c r="AL171" s="48"/>
      <x:c r="AM171" s="52"/>
    </x:row>
    <x:row r="172">
      <x:c r="A172" s="47"/>
      <x:c r="B172" s="48"/>
      <x:c r="C172" s="49"/>
      <x:c r="D172" s="48"/>
      <x:c r="E172" s="48"/>
      <x:c r="F172" s="48"/>
      <x:c r="G172" s="48"/>
      <x:c r="H172" s="50"/>
      <x:c r="I172" s="50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51"/>
      <x:c r="X172" s="48"/>
      <x:c r="Y172" s="48"/>
      <x:c r="Z172" s="48"/>
      <x:c r="AA172" s="48"/>
      <x:c r="AB172" s="48"/>
      <x:c r="AC172" s="48"/>
      <x:c r="AD172" s="48"/>
      <x:c r="AE172" s="48"/>
      <x:c r="AF172" s="48"/>
      <x:c r="AG172" s="48"/>
      <x:c r="AH172" s="48"/>
      <x:c r="AI172" s="48"/>
      <x:c r="AJ172" s="48"/>
      <x:c r="AK172" s="48"/>
      <x:c r="AL172" s="48"/>
      <x:c r="AM172" s="52"/>
    </x:row>
    <x:row r="173">
      <x:c r="A173" s="47"/>
      <x:c r="B173" s="48"/>
      <x:c r="C173" s="49"/>
      <x:c r="D173" s="48"/>
      <x:c r="E173" s="48"/>
      <x:c r="F173" s="48"/>
      <x:c r="G173" s="48"/>
      <x:c r="H173" s="50"/>
      <x:c r="I173" s="50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51"/>
      <x:c r="X173" s="48"/>
      <x:c r="Y173" s="48"/>
      <x:c r="Z173" s="48"/>
      <x:c r="AA173" s="48"/>
      <x:c r="AB173" s="48"/>
      <x:c r="AC173" s="48"/>
      <x:c r="AD173" s="48"/>
      <x:c r="AE173" s="48"/>
      <x:c r="AF173" s="48"/>
      <x:c r="AG173" s="48"/>
      <x:c r="AH173" s="48"/>
      <x:c r="AI173" s="48"/>
      <x:c r="AJ173" s="48"/>
      <x:c r="AK173" s="48"/>
      <x:c r="AL173" s="48"/>
      <x:c r="AM173" s="52"/>
    </x:row>
    <x:row r="174">
      <x:c r="A174" s="47"/>
      <x:c r="B174" s="48"/>
      <x:c r="C174" s="49"/>
      <x:c r="D174" s="48"/>
      <x:c r="E174" s="48"/>
      <x:c r="F174" s="48"/>
      <x:c r="G174" s="48"/>
      <x:c r="H174" s="50"/>
      <x:c r="I174" s="50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51"/>
      <x:c r="X174" s="48"/>
      <x:c r="Y174" s="48"/>
      <x:c r="Z174" s="48"/>
      <x:c r="AA174" s="48"/>
      <x:c r="AB174" s="48"/>
      <x:c r="AC174" s="48"/>
      <x:c r="AD174" s="48"/>
      <x:c r="AE174" s="48"/>
      <x:c r="AF174" s="48"/>
      <x:c r="AG174" s="48"/>
      <x:c r="AH174" s="48"/>
      <x:c r="AI174" s="48"/>
      <x:c r="AJ174" s="48"/>
      <x:c r="AK174" s="48"/>
      <x:c r="AL174" s="48"/>
      <x:c r="AM174" s="52"/>
    </x:row>
    <x:row r="175">
      <x:c r="A175" s="47"/>
      <x:c r="B175" s="48"/>
      <x:c r="C175" s="49"/>
      <x:c r="D175" s="48"/>
      <x:c r="E175" s="48"/>
      <x:c r="F175" s="48"/>
      <x:c r="G175" s="48"/>
      <x:c r="H175" s="50"/>
      <x:c r="I175" s="50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51"/>
      <x:c r="X175" s="48"/>
      <x:c r="Y175" s="48"/>
      <x:c r="Z175" s="48"/>
      <x:c r="AA175" s="48"/>
      <x:c r="AB175" s="48"/>
      <x:c r="AC175" s="48"/>
      <x:c r="AD175" s="48"/>
      <x:c r="AE175" s="48"/>
      <x:c r="AF175" s="48"/>
      <x:c r="AG175" s="48"/>
      <x:c r="AH175" s="48"/>
      <x:c r="AI175" s="48"/>
      <x:c r="AJ175" s="48"/>
      <x:c r="AK175" s="48"/>
      <x:c r="AL175" s="48"/>
      <x:c r="AM175" s="52"/>
    </x:row>
    <x:row r="176">
      <x:c r="A176" s="47"/>
      <x:c r="B176" s="48"/>
      <x:c r="C176" s="49"/>
      <x:c r="D176" s="48"/>
      <x:c r="E176" s="48"/>
      <x:c r="F176" s="48"/>
      <x:c r="G176" s="48"/>
      <x:c r="H176" s="50"/>
      <x:c r="I176" s="50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51"/>
      <x:c r="X176" s="48"/>
      <x:c r="Y176" s="48"/>
      <x:c r="Z176" s="48"/>
      <x:c r="AA176" s="48"/>
      <x:c r="AB176" s="48"/>
      <x:c r="AC176" s="48"/>
      <x:c r="AD176" s="48"/>
      <x:c r="AE176" s="48"/>
      <x:c r="AF176" s="48"/>
      <x:c r="AG176" s="48"/>
      <x:c r="AH176" s="48"/>
      <x:c r="AI176" s="48"/>
      <x:c r="AJ176" s="48"/>
      <x:c r="AK176" s="48"/>
      <x:c r="AL176" s="48"/>
      <x:c r="AM176" s="52"/>
    </x:row>
    <x:row r="177">
      <x:c r="A177" s="47"/>
      <x:c r="B177" s="48"/>
      <x:c r="C177" s="49"/>
      <x:c r="D177" s="48"/>
      <x:c r="E177" s="48"/>
      <x:c r="F177" s="48"/>
      <x:c r="G177" s="48"/>
      <x:c r="H177" s="50"/>
      <x:c r="I177" s="50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51"/>
      <x:c r="X177" s="48"/>
      <x:c r="Y177" s="48"/>
      <x:c r="Z177" s="48"/>
      <x:c r="AA177" s="48"/>
      <x:c r="AB177" s="48"/>
      <x:c r="AC177" s="48"/>
      <x:c r="AD177" s="48"/>
      <x:c r="AE177" s="48"/>
      <x:c r="AF177" s="48"/>
      <x:c r="AG177" s="48"/>
      <x:c r="AH177" s="48"/>
      <x:c r="AI177" s="48"/>
      <x:c r="AJ177" s="48"/>
      <x:c r="AK177" s="48"/>
      <x:c r="AL177" s="48"/>
      <x:c r="AM177" s="52"/>
    </x:row>
    <x:row r="178">
      <x:c r="A178" s="47"/>
      <x:c r="B178" s="48"/>
      <x:c r="C178" s="49"/>
      <x:c r="D178" s="48"/>
      <x:c r="E178" s="48"/>
      <x:c r="F178" s="48"/>
      <x:c r="G178" s="48"/>
      <x:c r="H178" s="50"/>
      <x:c r="I178" s="50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51"/>
      <x:c r="X178" s="48"/>
      <x:c r="Y178" s="48"/>
      <x:c r="Z178" s="48"/>
      <x:c r="AA178" s="48"/>
      <x:c r="AB178" s="48"/>
      <x:c r="AC178" s="48"/>
      <x:c r="AD178" s="48"/>
      <x:c r="AE178" s="48"/>
      <x:c r="AF178" s="48"/>
      <x:c r="AG178" s="48"/>
      <x:c r="AH178" s="48"/>
      <x:c r="AI178" s="48"/>
      <x:c r="AJ178" s="48"/>
      <x:c r="AK178" s="48"/>
      <x:c r="AL178" s="48"/>
      <x:c r="AM178" s="52"/>
    </x:row>
    <x:row r="179">
      <x:c r="A179" s="47"/>
      <x:c r="B179" s="48"/>
      <x:c r="C179" s="49"/>
      <x:c r="D179" s="48"/>
      <x:c r="E179" s="48"/>
      <x:c r="F179" s="48"/>
      <x:c r="G179" s="48"/>
      <x:c r="H179" s="50"/>
      <x:c r="I179" s="50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51"/>
      <x:c r="X179" s="48"/>
      <x:c r="Y179" s="48"/>
      <x:c r="Z179" s="48"/>
      <x:c r="AA179" s="48"/>
      <x:c r="AB179" s="48"/>
      <x:c r="AC179" s="48"/>
      <x:c r="AD179" s="48"/>
      <x:c r="AE179" s="48"/>
      <x:c r="AF179" s="48"/>
      <x:c r="AG179" s="48"/>
      <x:c r="AH179" s="48"/>
      <x:c r="AI179" s="48"/>
      <x:c r="AJ179" s="48"/>
      <x:c r="AK179" s="48"/>
      <x:c r="AL179" s="48"/>
      <x:c r="AM179" s="52"/>
    </x:row>
    <x:row r="180">
      <x:c r="A180" s="47"/>
      <x:c r="B180" s="48"/>
      <x:c r="C180" s="49"/>
      <x:c r="D180" s="48"/>
      <x:c r="E180" s="48"/>
      <x:c r="F180" s="48"/>
      <x:c r="G180" s="48"/>
      <x:c r="H180" s="50"/>
      <x:c r="I180" s="50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51"/>
      <x:c r="X180" s="48"/>
      <x:c r="Y180" s="48"/>
      <x:c r="Z180" s="48"/>
      <x:c r="AA180" s="48"/>
      <x:c r="AB180" s="48"/>
      <x:c r="AC180" s="48"/>
      <x:c r="AD180" s="48"/>
      <x:c r="AE180" s="48"/>
      <x:c r="AF180" s="48"/>
      <x:c r="AG180" s="48"/>
      <x:c r="AH180" s="48"/>
      <x:c r="AI180" s="48"/>
      <x:c r="AJ180" s="48"/>
      <x:c r="AK180" s="48"/>
      <x:c r="AL180" s="48"/>
      <x:c r="AM180" s="52"/>
    </x:row>
    <x:row r="181">
      <x:c r="A181" s="47"/>
      <x:c r="B181" s="48"/>
      <x:c r="C181" s="49"/>
      <x:c r="D181" s="48"/>
      <x:c r="E181" s="48"/>
      <x:c r="F181" s="48"/>
      <x:c r="G181" s="48"/>
      <x:c r="H181" s="50"/>
      <x:c r="I181" s="50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51"/>
      <x:c r="X181" s="48"/>
      <x:c r="Y181" s="48"/>
      <x:c r="Z181" s="48"/>
      <x:c r="AA181" s="48"/>
      <x:c r="AB181" s="48"/>
      <x:c r="AC181" s="48"/>
      <x:c r="AD181" s="48"/>
      <x:c r="AE181" s="48"/>
      <x:c r="AF181" s="48"/>
      <x:c r="AG181" s="48"/>
      <x:c r="AH181" s="48"/>
      <x:c r="AI181" s="48"/>
      <x:c r="AJ181" s="48"/>
      <x:c r="AK181" s="48"/>
      <x:c r="AL181" s="48"/>
      <x:c r="AM181" s="52"/>
    </x:row>
    <x:row r="182">
      <x:c r="A182" s="47"/>
      <x:c r="B182" s="48"/>
      <x:c r="C182" s="49"/>
      <x:c r="D182" s="48"/>
      <x:c r="E182" s="48"/>
      <x:c r="F182" s="48"/>
      <x:c r="G182" s="48"/>
      <x:c r="H182" s="50"/>
      <x:c r="I182" s="50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51"/>
      <x:c r="X182" s="48"/>
      <x:c r="Y182" s="48"/>
      <x:c r="Z182" s="48"/>
      <x:c r="AA182" s="48"/>
      <x:c r="AB182" s="48"/>
      <x:c r="AC182" s="48"/>
      <x:c r="AD182" s="48"/>
      <x:c r="AE182" s="48"/>
      <x:c r="AF182" s="48"/>
      <x:c r="AG182" s="48"/>
      <x:c r="AH182" s="48"/>
      <x:c r="AI182" s="48"/>
      <x:c r="AJ182" s="48"/>
      <x:c r="AK182" s="48"/>
      <x:c r="AL182" s="48"/>
      <x:c r="AM182" s="52"/>
    </x:row>
    <x:row r="183">
      <x:c r="A183" s="47"/>
      <x:c r="B183" s="48"/>
      <x:c r="C183" s="49"/>
      <x:c r="D183" s="48"/>
      <x:c r="E183" s="48"/>
      <x:c r="F183" s="48"/>
      <x:c r="G183" s="48"/>
      <x:c r="H183" s="50"/>
      <x:c r="I183" s="50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51"/>
      <x:c r="X183" s="48"/>
      <x:c r="Y183" s="48"/>
      <x:c r="Z183" s="48"/>
      <x:c r="AA183" s="48"/>
      <x:c r="AB183" s="48"/>
      <x:c r="AC183" s="48"/>
      <x:c r="AD183" s="48"/>
      <x:c r="AE183" s="48"/>
      <x:c r="AF183" s="48"/>
      <x:c r="AG183" s="48"/>
      <x:c r="AH183" s="48"/>
      <x:c r="AI183" s="48"/>
      <x:c r="AJ183" s="48"/>
      <x:c r="AK183" s="48"/>
      <x:c r="AL183" s="48"/>
      <x:c r="AM183" s="52"/>
    </x:row>
    <x:row r="184">
      <x:c r="A184" s="47"/>
      <x:c r="B184" s="48"/>
      <x:c r="C184" s="49"/>
      <x:c r="D184" s="48"/>
      <x:c r="E184" s="48"/>
      <x:c r="F184" s="48"/>
      <x:c r="G184" s="48"/>
      <x:c r="H184" s="50"/>
      <x:c r="I184" s="50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51"/>
      <x:c r="X184" s="48"/>
      <x:c r="Y184" s="48"/>
      <x:c r="Z184" s="48"/>
      <x:c r="AA184" s="48"/>
      <x:c r="AB184" s="48"/>
      <x:c r="AC184" s="48"/>
      <x:c r="AD184" s="48"/>
      <x:c r="AE184" s="48"/>
      <x:c r="AF184" s="48"/>
      <x:c r="AG184" s="48"/>
      <x:c r="AH184" s="48"/>
      <x:c r="AI184" s="48"/>
      <x:c r="AJ184" s="48"/>
      <x:c r="AK184" s="48"/>
      <x:c r="AL184" s="48"/>
      <x:c r="AM184" s="52"/>
    </x:row>
    <x:row r="185">
      <x:c r="A185" s="47"/>
      <x:c r="B185" s="48"/>
      <x:c r="C185" s="49"/>
      <x:c r="D185" s="48"/>
      <x:c r="E185" s="48"/>
      <x:c r="F185" s="48"/>
      <x:c r="G185" s="48"/>
      <x:c r="H185" s="50"/>
      <x:c r="I185" s="50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51"/>
      <x:c r="X185" s="48"/>
      <x:c r="Y185" s="48"/>
      <x:c r="Z185" s="48"/>
      <x:c r="AA185" s="48"/>
      <x:c r="AB185" s="48"/>
      <x:c r="AC185" s="48"/>
      <x:c r="AD185" s="48"/>
      <x:c r="AE185" s="48"/>
      <x:c r="AF185" s="48"/>
      <x:c r="AG185" s="48"/>
      <x:c r="AH185" s="48"/>
      <x:c r="AI185" s="48"/>
      <x:c r="AJ185" s="48"/>
      <x:c r="AK185" s="48"/>
      <x:c r="AL185" s="48"/>
      <x:c r="AM185" s="52"/>
    </x:row>
    <x:row r="186">
      <x:c r="A186" s="47"/>
      <x:c r="B186" s="48"/>
      <x:c r="C186" s="49"/>
      <x:c r="D186" s="48"/>
      <x:c r="E186" s="48"/>
      <x:c r="F186" s="48"/>
      <x:c r="G186" s="48"/>
      <x:c r="H186" s="50"/>
      <x:c r="I186" s="50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51"/>
      <x:c r="X186" s="48"/>
      <x:c r="Y186" s="48"/>
      <x:c r="Z186" s="48"/>
      <x:c r="AA186" s="48"/>
      <x:c r="AB186" s="48"/>
      <x:c r="AC186" s="48"/>
      <x:c r="AD186" s="48"/>
      <x:c r="AE186" s="48"/>
      <x:c r="AF186" s="48"/>
      <x:c r="AG186" s="48"/>
      <x:c r="AH186" s="48"/>
      <x:c r="AI186" s="48"/>
      <x:c r="AJ186" s="48"/>
      <x:c r="AK186" s="48"/>
      <x:c r="AL186" s="48"/>
      <x:c r="AM186" s="52"/>
    </x:row>
    <x:row r="187">
      <x:c r="A187" s="47"/>
      <x:c r="B187" s="48"/>
      <x:c r="C187" s="49"/>
      <x:c r="D187" s="48"/>
      <x:c r="E187" s="48"/>
      <x:c r="F187" s="48"/>
      <x:c r="G187" s="48"/>
      <x:c r="H187" s="50"/>
      <x:c r="I187" s="50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51"/>
      <x:c r="X187" s="48"/>
      <x:c r="Y187" s="48"/>
      <x:c r="Z187" s="48"/>
      <x:c r="AA187" s="48"/>
      <x:c r="AB187" s="48"/>
      <x:c r="AC187" s="48"/>
      <x:c r="AD187" s="48"/>
      <x:c r="AE187" s="48"/>
      <x:c r="AF187" s="48"/>
      <x:c r="AG187" s="48"/>
      <x:c r="AH187" s="48"/>
      <x:c r="AI187" s="48"/>
      <x:c r="AJ187" s="48"/>
      <x:c r="AK187" s="48"/>
      <x:c r="AL187" s="48"/>
      <x:c r="AM187" s="52"/>
    </x:row>
    <x:row r="188">
      <x:c r="A188" s="47"/>
      <x:c r="B188" s="48"/>
      <x:c r="C188" s="49"/>
      <x:c r="D188" s="48"/>
      <x:c r="E188" s="48"/>
      <x:c r="F188" s="48"/>
      <x:c r="G188" s="48"/>
      <x:c r="H188" s="50"/>
      <x:c r="I188" s="50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51"/>
      <x:c r="X188" s="48"/>
      <x:c r="Y188" s="48"/>
      <x:c r="Z188" s="48"/>
      <x:c r="AA188" s="48"/>
      <x:c r="AB188" s="48"/>
      <x:c r="AC188" s="48"/>
      <x:c r="AD188" s="48"/>
      <x:c r="AE188" s="48"/>
      <x:c r="AF188" s="48"/>
      <x:c r="AG188" s="48"/>
      <x:c r="AH188" s="48"/>
      <x:c r="AI188" s="48"/>
      <x:c r="AJ188" s="48"/>
      <x:c r="AK188" s="48"/>
      <x:c r="AL188" s="48"/>
      <x:c r="AM188" s="52"/>
    </x:row>
    <x:row r="189">
      <x:c r="A189" s="47"/>
      <x:c r="B189" s="48"/>
      <x:c r="C189" s="49"/>
      <x:c r="D189" s="48"/>
      <x:c r="E189" s="48"/>
      <x:c r="F189" s="48"/>
      <x:c r="G189" s="48"/>
      <x:c r="H189" s="50"/>
      <x:c r="I189" s="50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51"/>
      <x:c r="X189" s="48"/>
      <x:c r="Y189" s="48"/>
      <x:c r="Z189" s="48"/>
      <x:c r="AA189" s="48"/>
      <x:c r="AB189" s="48"/>
      <x:c r="AC189" s="48"/>
      <x:c r="AD189" s="48"/>
      <x:c r="AE189" s="48"/>
      <x:c r="AF189" s="48"/>
      <x:c r="AG189" s="48"/>
      <x:c r="AH189" s="48"/>
      <x:c r="AI189" s="48"/>
      <x:c r="AJ189" s="48"/>
      <x:c r="AK189" s="48"/>
      <x:c r="AL189" s="48"/>
      <x:c r="AM189" s="52"/>
    </x:row>
    <x:row r="190">
      <x:c r="A190" s="47"/>
      <x:c r="B190" s="48"/>
      <x:c r="C190" s="49"/>
      <x:c r="D190" s="48"/>
      <x:c r="E190" s="48"/>
      <x:c r="F190" s="48"/>
      <x:c r="G190" s="48"/>
      <x:c r="H190" s="50"/>
      <x:c r="I190" s="50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51"/>
      <x:c r="X190" s="48"/>
      <x:c r="Y190" s="48"/>
      <x:c r="Z190" s="48"/>
      <x:c r="AA190" s="48"/>
      <x:c r="AB190" s="48"/>
      <x:c r="AC190" s="48"/>
      <x:c r="AD190" s="48"/>
      <x:c r="AE190" s="48"/>
      <x:c r="AF190" s="48"/>
      <x:c r="AG190" s="48"/>
      <x:c r="AH190" s="48"/>
      <x:c r="AI190" s="48"/>
      <x:c r="AJ190" s="48"/>
      <x:c r="AK190" s="48"/>
      <x:c r="AL190" s="48"/>
      <x:c r="AM190" s="52"/>
    </x:row>
    <x:row r="191">
      <x:c r="A191" s="47"/>
      <x:c r="B191" s="48"/>
      <x:c r="C191" s="49"/>
      <x:c r="D191" s="48"/>
      <x:c r="E191" s="48"/>
      <x:c r="F191" s="48"/>
      <x:c r="G191" s="48"/>
      <x:c r="H191" s="50"/>
      <x:c r="I191" s="50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51"/>
      <x:c r="X191" s="48"/>
      <x:c r="Y191" s="48"/>
      <x:c r="Z191" s="48"/>
      <x:c r="AA191" s="48"/>
      <x:c r="AB191" s="48"/>
      <x:c r="AC191" s="48"/>
      <x:c r="AD191" s="48"/>
      <x:c r="AE191" s="48"/>
      <x:c r="AF191" s="48"/>
      <x:c r="AG191" s="48"/>
      <x:c r="AH191" s="48"/>
      <x:c r="AI191" s="48"/>
      <x:c r="AJ191" s="48"/>
      <x:c r="AK191" s="48"/>
      <x:c r="AL191" s="48"/>
      <x:c r="AM191" s="52"/>
    </x:row>
    <x:row r="192">
      <x:c r="A192" s="47"/>
      <x:c r="B192" s="48"/>
      <x:c r="C192" s="49"/>
      <x:c r="D192" s="48"/>
      <x:c r="E192" s="48"/>
      <x:c r="F192" s="48"/>
      <x:c r="G192" s="48"/>
      <x:c r="H192" s="50"/>
      <x:c r="I192" s="50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51"/>
      <x:c r="X192" s="48"/>
      <x:c r="Y192" s="48"/>
      <x:c r="Z192" s="48"/>
      <x:c r="AA192" s="48"/>
      <x:c r="AB192" s="48"/>
      <x:c r="AC192" s="48"/>
      <x:c r="AD192" s="48"/>
      <x:c r="AE192" s="48"/>
      <x:c r="AF192" s="48"/>
      <x:c r="AG192" s="48"/>
      <x:c r="AH192" s="48"/>
      <x:c r="AI192" s="48"/>
      <x:c r="AJ192" s="48"/>
      <x:c r="AK192" s="48"/>
      <x:c r="AL192" s="48"/>
      <x:c r="AM192" s="52"/>
    </x:row>
    <x:row r="193">
      <x:c r="A193" s="47"/>
      <x:c r="B193" s="48"/>
      <x:c r="C193" s="49"/>
      <x:c r="D193" s="48"/>
      <x:c r="E193" s="48"/>
      <x:c r="F193" s="48"/>
      <x:c r="G193" s="48"/>
      <x:c r="H193" s="50"/>
      <x:c r="I193" s="50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51"/>
      <x:c r="X193" s="48"/>
      <x:c r="Y193" s="48"/>
      <x:c r="Z193" s="48"/>
      <x:c r="AA193" s="48"/>
      <x:c r="AB193" s="48"/>
      <x:c r="AC193" s="48"/>
      <x:c r="AD193" s="48"/>
      <x:c r="AE193" s="48"/>
      <x:c r="AF193" s="48"/>
      <x:c r="AG193" s="48"/>
      <x:c r="AH193" s="48"/>
      <x:c r="AI193" s="48"/>
      <x:c r="AJ193" s="48"/>
      <x:c r="AK193" s="48"/>
      <x:c r="AL193" s="48"/>
      <x:c r="AM193" s="52"/>
    </x:row>
    <x:row r="194">
      <x:c r="A194" s="47"/>
      <x:c r="B194" s="48"/>
      <x:c r="C194" s="49"/>
      <x:c r="D194" s="48"/>
      <x:c r="E194" s="48"/>
      <x:c r="F194" s="48"/>
      <x:c r="G194" s="48"/>
      <x:c r="H194" s="50"/>
      <x:c r="I194" s="50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51"/>
      <x:c r="X194" s="48"/>
      <x:c r="Y194" s="48"/>
      <x:c r="Z194" s="48"/>
      <x:c r="AA194" s="48"/>
      <x:c r="AB194" s="48"/>
      <x:c r="AC194" s="48"/>
      <x:c r="AD194" s="48"/>
      <x:c r="AE194" s="48"/>
      <x:c r="AF194" s="48"/>
      <x:c r="AG194" s="48"/>
      <x:c r="AH194" s="48"/>
      <x:c r="AI194" s="48"/>
      <x:c r="AJ194" s="48"/>
      <x:c r="AK194" s="48"/>
      <x:c r="AL194" s="48"/>
      <x:c r="AM194" s="52"/>
    </x:row>
    <x:row r="195">
      <x:c r="A195" s="47"/>
      <x:c r="B195" s="48"/>
      <x:c r="C195" s="49"/>
      <x:c r="D195" s="48"/>
      <x:c r="E195" s="48"/>
      <x:c r="F195" s="48"/>
      <x:c r="G195" s="48"/>
      <x:c r="H195" s="50"/>
      <x:c r="I195" s="50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51"/>
      <x:c r="X195" s="48"/>
      <x:c r="Y195" s="48"/>
      <x:c r="Z195" s="48"/>
      <x:c r="AA195" s="48"/>
      <x:c r="AB195" s="48"/>
      <x:c r="AC195" s="48"/>
      <x:c r="AD195" s="48"/>
      <x:c r="AE195" s="48"/>
      <x:c r="AF195" s="48"/>
      <x:c r="AG195" s="48"/>
      <x:c r="AH195" s="48"/>
      <x:c r="AI195" s="48"/>
      <x:c r="AJ195" s="48"/>
      <x:c r="AK195" s="48"/>
      <x:c r="AL195" s="48"/>
      <x:c r="AM195" s="52"/>
    </x:row>
    <x:row r="196">
      <x:c r="A196" s="47"/>
      <x:c r="B196" s="48"/>
      <x:c r="C196" s="49"/>
      <x:c r="D196" s="48"/>
      <x:c r="E196" s="48"/>
      <x:c r="F196" s="48"/>
      <x:c r="G196" s="48"/>
      <x:c r="H196" s="50"/>
      <x:c r="I196" s="50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51"/>
      <x:c r="X196" s="48"/>
      <x:c r="Y196" s="48"/>
      <x:c r="Z196" s="48"/>
      <x:c r="AA196" s="48"/>
      <x:c r="AB196" s="48"/>
      <x:c r="AC196" s="48"/>
      <x:c r="AD196" s="48"/>
      <x:c r="AE196" s="48"/>
      <x:c r="AF196" s="48"/>
      <x:c r="AG196" s="48"/>
      <x:c r="AH196" s="48"/>
      <x:c r="AI196" s="48"/>
      <x:c r="AJ196" s="48"/>
      <x:c r="AK196" s="48"/>
      <x:c r="AL196" s="48"/>
      <x:c r="AM196" s="52"/>
    </x:row>
    <x:row r="197">
      <x:c r="A197" s="47"/>
      <x:c r="B197" s="48"/>
      <x:c r="C197" s="49"/>
      <x:c r="D197" s="48"/>
      <x:c r="E197" s="48"/>
      <x:c r="F197" s="48"/>
      <x:c r="G197" s="48"/>
      <x:c r="H197" s="50"/>
      <x:c r="I197" s="50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51"/>
      <x:c r="X197" s="48"/>
      <x:c r="Y197" s="48"/>
      <x:c r="Z197" s="48"/>
      <x:c r="AA197" s="48"/>
      <x:c r="AB197" s="48"/>
      <x:c r="AC197" s="48"/>
      <x:c r="AD197" s="48"/>
      <x:c r="AE197" s="48"/>
      <x:c r="AF197" s="48"/>
      <x:c r="AG197" s="48"/>
      <x:c r="AH197" s="48"/>
      <x:c r="AI197" s="48"/>
      <x:c r="AJ197" s="48"/>
      <x:c r="AK197" s="48"/>
      <x:c r="AL197" s="48"/>
      <x:c r="AM197" s="52"/>
    </x:row>
    <x:row r="198">
      <x:c r="A198" s="47"/>
      <x:c r="B198" s="48"/>
      <x:c r="C198" s="49"/>
      <x:c r="D198" s="48"/>
      <x:c r="E198" s="48"/>
      <x:c r="F198" s="48"/>
      <x:c r="G198" s="48"/>
      <x:c r="H198" s="50"/>
      <x:c r="I198" s="50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51"/>
      <x:c r="X198" s="48"/>
      <x:c r="Y198" s="48"/>
      <x:c r="Z198" s="48"/>
      <x:c r="AA198" s="48"/>
      <x:c r="AB198" s="48"/>
      <x:c r="AC198" s="48"/>
      <x:c r="AD198" s="48"/>
      <x:c r="AE198" s="48"/>
      <x:c r="AF198" s="48"/>
      <x:c r="AG198" s="48"/>
      <x:c r="AH198" s="48"/>
      <x:c r="AI198" s="48"/>
      <x:c r="AJ198" s="48"/>
      <x:c r="AK198" s="48"/>
      <x:c r="AL198" s="48"/>
      <x:c r="AM198" s="52"/>
    </x:row>
    <x:row r="199">
      <x:c r="A199" s="47"/>
      <x:c r="B199" s="48"/>
      <x:c r="C199" s="49"/>
      <x:c r="D199" s="48"/>
      <x:c r="E199" s="48"/>
      <x:c r="F199" s="48"/>
      <x:c r="G199" s="48"/>
      <x:c r="H199" s="50"/>
      <x:c r="I199" s="50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51"/>
      <x:c r="X199" s="48"/>
      <x:c r="Y199" s="48"/>
      <x:c r="Z199" s="48"/>
      <x:c r="AA199" s="48"/>
      <x:c r="AB199" s="48"/>
      <x:c r="AC199" s="48"/>
      <x:c r="AD199" s="48"/>
      <x:c r="AE199" s="48"/>
      <x:c r="AF199" s="48"/>
      <x:c r="AG199" s="48"/>
      <x:c r="AH199" s="48"/>
      <x:c r="AI199" s="48"/>
      <x:c r="AJ199" s="48"/>
      <x:c r="AK199" s="48"/>
      <x:c r="AL199" s="48"/>
      <x:c r="AM199" s="52"/>
    </x:row>
    <x:row r="200">
      <x:c r="A200" s="47"/>
      <x:c r="B200" s="48"/>
      <x:c r="C200" s="49"/>
      <x:c r="D200" s="48"/>
      <x:c r="E200" s="48"/>
      <x:c r="F200" s="48"/>
      <x:c r="G200" s="48"/>
      <x:c r="H200" s="50"/>
      <x:c r="I200" s="50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51"/>
      <x:c r="X200" s="48"/>
      <x:c r="Y200" s="48"/>
      <x:c r="Z200" s="48"/>
      <x:c r="AA200" s="48"/>
      <x:c r="AB200" s="48"/>
      <x:c r="AC200" s="48"/>
      <x:c r="AD200" s="48"/>
      <x:c r="AE200" s="48"/>
      <x:c r="AF200" s="48"/>
      <x:c r="AG200" s="48"/>
      <x:c r="AH200" s="48"/>
      <x:c r="AI200" s="48"/>
      <x:c r="AJ200" s="48"/>
      <x:c r="AK200" s="48"/>
      <x:c r="AL200" s="48"/>
      <x:c r="AM200" s="52"/>
    </x:row>
    <x:row r="201">
      <x:c r="A201" s="47"/>
      <x:c r="B201" s="48"/>
      <x:c r="C201" s="49"/>
      <x:c r="D201" s="48"/>
      <x:c r="E201" s="48"/>
      <x:c r="F201" s="48"/>
      <x:c r="G201" s="48"/>
      <x:c r="H201" s="50"/>
      <x:c r="I201" s="50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51"/>
      <x:c r="X201" s="48"/>
      <x:c r="Y201" s="48"/>
      <x:c r="Z201" s="48"/>
      <x:c r="AA201" s="48"/>
      <x:c r="AB201" s="48"/>
      <x:c r="AC201" s="48"/>
      <x:c r="AD201" s="48"/>
      <x:c r="AE201" s="48"/>
      <x:c r="AF201" s="48"/>
      <x:c r="AG201" s="48"/>
      <x:c r="AH201" s="48"/>
      <x:c r="AI201" s="48"/>
      <x:c r="AJ201" s="48"/>
      <x:c r="AK201" s="48"/>
      <x:c r="AL201" s="48"/>
      <x:c r="AM201" s="52"/>
    </x:row>
    <x:row r="202">
      <x:c r="A202" s="47"/>
      <x:c r="B202" s="48"/>
      <x:c r="C202" s="49"/>
      <x:c r="D202" s="48"/>
      <x:c r="E202" s="48"/>
      <x:c r="F202" s="48"/>
      <x:c r="G202" s="48"/>
      <x:c r="H202" s="50"/>
      <x:c r="I202" s="50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51"/>
      <x:c r="X202" s="48"/>
      <x:c r="Y202" s="48"/>
      <x:c r="Z202" s="48"/>
      <x:c r="AA202" s="48"/>
      <x:c r="AB202" s="48"/>
      <x:c r="AC202" s="48"/>
      <x:c r="AD202" s="48"/>
      <x:c r="AE202" s="48"/>
      <x:c r="AF202" s="48"/>
      <x:c r="AG202" s="48"/>
      <x:c r="AH202" s="48"/>
      <x:c r="AI202" s="48"/>
      <x:c r="AJ202" s="48"/>
      <x:c r="AK202" s="48"/>
      <x:c r="AL202" s="48"/>
      <x:c r="AM202" s="52"/>
    </x:row>
    <x:row r="203">
      <x:c r="A203" s="47"/>
      <x:c r="B203" s="48"/>
      <x:c r="C203" s="49"/>
      <x:c r="D203" s="48"/>
      <x:c r="E203" s="48"/>
      <x:c r="F203" s="48"/>
      <x:c r="G203" s="48"/>
      <x:c r="H203" s="50"/>
      <x:c r="I203" s="50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51"/>
      <x:c r="X203" s="48"/>
      <x:c r="Y203" s="48"/>
      <x:c r="Z203" s="48"/>
      <x:c r="AA203" s="48"/>
      <x:c r="AB203" s="48"/>
      <x:c r="AC203" s="48"/>
      <x:c r="AD203" s="48"/>
      <x:c r="AE203" s="48"/>
      <x:c r="AF203" s="48"/>
      <x:c r="AG203" s="48"/>
      <x:c r="AH203" s="48"/>
      <x:c r="AI203" s="48"/>
      <x:c r="AJ203" s="48"/>
      <x:c r="AK203" s="48"/>
      <x:c r="AL203" s="48"/>
      <x:c r="AM203" s="52"/>
    </x:row>
    <x:row r="204">
      <x:c r="A204" s="47"/>
      <x:c r="B204" s="48"/>
      <x:c r="C204" s="49"/>
      <x:c r="D204" s="48"/>
      <x:c r="E204" s="48"/>
      <x:c r="F204" s="48"/>
      <x:c r="G204" s="48"/>
      <x:c r="H204" s="50"/>
      <x:c r="I204" s="50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51"/>
      <x:c r="X204" s="48"/>
      <x:c r="Y204" s="48"/>
      <x:c r="Z204" s="48"/>
      <x:c r="AA204" s="48"/>
      <x:c r="AB204" s="48"/>
      <x:c r="AC204" s="48"/>
      <x:c r="AD204" s="48"/>
      <x:c r="AE204" s="48"/>
      <x:c r="AF204" s="48"/>
      <x:c r="AG204" s="48"/>
      <x:c r="AH204" s="48"/>
      <x:c r="AI204" s="48"/>
      <x:c r="AJ204" s="48"/>
      <x:c r="AK204" s="48"/>
      <x:c r="AL204" s="48"/>
      <x:c r="AM204" s="52"/>
    </x:row>
    <x:row r="205">
      <x:c r="A205" s="47"/>
      <x:c r="B205" s="48"/>
      <x:c r="C205" s="49"/>
      <x:c r="D205" s="48"/>
      <x:c r="E205" s="48"/>
      <x:c r="F205" s="48"/>
      <x:c r="G205" s="48"/>
      <x:c r="H205" s="50"/>
      <x:c r="I205" s="50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51"/>
      <x:c r="X205" s="48"/>
      <x:c r="Y205" s="48"/>
      <x:c r="Z205" s="48"/>
      <x:c r="AA205" s="48"/>
      <x:c r="AB205" s="48"/>
      <x:c r="AC205" s="48"/>
      <x:c r="AD205" s="48"/>
      <x:c r="AE205" s="48"/>
      <x:c r="AF205" s="48"/>
      <x:c r="AG205" s="48"/>
      <x:c r="AH205" s="48"/>
      <x:c r="AI205" s="48"/>
      <x:c r="AJ205" s="48"/>
      <x:c r="AK205" s="48"/>
      <x:c r="AL205" s="48"/>
      <x:c r="AM205" s="52"/>
    </x:row>
    <x:row r="206">
      <x:c r="A206" s="47"/>
      <x:c r="B206" s="48"/>
      <x:c r="C206" s="49"/>
      <x:c r="D206" s="48"/>
      <x:c r="E206" s="48"/>
      <x:c r="F206" s="48"/>
      <x:c r="G206" s="48"/>
      <x:c r="H206" s="50"/>
      <x:c r="I206" s="50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51"/>
      <x:c r="X206" s="48"/>
      <x:c r="Y206" s="48"/>
      <x:c r="Z206" s="48"/>
      <x:c r="AA206" s="48"/>
      <x:c r="AB206" s="48"/>
      <x:c r="AC206" s="48"/>
      <x:c r="AD206" s="48"/>
      <x:c r="AE206" s="48"/>
      <x:c r="AF206" s="48"/>
      <x:c r="AG206" s="48"/>
      <x:c r="AH206" s="48"/>
      <x:c r="AI206" s="48"/>
      <x:c r="AJ206" s="48"/>
      <x:c r="AK206" s="48"/>
      <x:c r="AL206" s="48"/>
      <x:c r="AM206" s="52"/>
    </x:row>
    <x:row r="207">
      <x:c r="A207" s="47"/>
      <x:c r="B207" s="48"/>
      <x:c r="C207" s="49"/>
      <x:c r="D207" s="48"/>
      <x:c r="E207" s="48"/>
      <x:c r="F207" s="48"/>
      <x:c r="G207" s="48"/>
      <x:c r="H207" s="50"/>
      <x:c r="I207" s="50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51"/>
      <x:c r="X207" s="48"/>
      <x:c r="Y207" s="48"/>
      <x:c r="Z207" s="48"/>
      <x:c r="AA207" s="48"/>
      <x:c r="AB207" s="48"/>
      <x:c r="AC207" s="48"/>
      <x:c r="AD207" s="48"/>
      <x:c r="AE207" s="48"/>
      <x:c r="AF207" s="48"/>
      <x:c r="AG207" s="48"/>
      <x:c r="AH207" s="48"/>
      <x:c r="AI207" s="48"/>
      <x:c r="AJ207" s="48"/>
      <x:c r="AK207" s="48"/>
      <x:c r="AL207" s="48"/>
      <x:c r="AM207" s="52"/>
    </x:row>
    <x:row r="208">
      <x:c r="A208" s="47"/>
      <x:c r="B208" s="48"/>
      <x:c r="C208" s="49"/>
      <x:c r="D208" s="48"/>
      <x:c r="E208" s="48"/>
      <x:c r="F208" s="48"/>
      <x:c r="G208" s="48"/>
      <x:c r="H208" s="50"/>
      <x:c r="I208" s="50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51"/>
      <x:c r="X208" s="48"/>
      <x:c r="Y208" s="48"/>
      <x:c r="Z208" s="48"/>
      <x:c r="AA208" s="48"/>
      <x:c r="AB208" s="48"/>
      <x:c r="AC208" s="48"/>
      <x:c r="AD208" s="48"/>
      <x:c r="AE208" s="48"/>
      <x:c r="AF208" s="48"/>
      <x:c r="AG208" s="48"/>
      <x:c r="AH208" s="48"/>
      <x:c r="AI208" s="48"/>
      <x:c r="AJ208" s="48"/>
      <x:c r="AK208" s="48"/>
      <x:c r="AL208" s="48"/>
      <x:c r="AM208" s="52"/>
    </x:row>
    <x:row r="209">
      <x:c r="A209" s="47"/>
      <x:c r="B209" s="48"/>
      <x:c r="C209" s="49"/>
      <x:c r="D209" s="48"/>
      <x:c r="E209" s="48"/>
      <x:c r="F209" s="48"/>
      <x:c r="G209" s="48"/>
      <x:c r="H209" s="50"/>
      <x:c r="I209" s="50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51"/>
      <x:c r="X209" s="48"/>
      <x:c r="Y209" s="48"/>
      <x:c r="Z209" s="48"/>
      <x:c r="AA209" s="48"/>
      <x:c r="AB209" s="48"/>
      <x:c r="AC209" s="48"/>
      <x:c r="AD209" s="48"/>
      <x:c r="AE209" s="48"/>
      <x:c r="AF209" s="48"/>
      <x:c r="AG209" s="48"/>
      <x:c r="AH209" s="48"/>
      <x:c r="AI209" s="48"/>
      <x:c r="AJ209" s="48"/>
      <x:c r="AK209" s="48"/>
      <x:c r="AL209" s="48"/>
      <x:c r="AM209" s="52"/>
    </x:row>
    <x:row r="210">
      <x:c r="A210" s="47"/>
      <x:c r="B210" s="48"/>
      <x:c r="C210" s="49"/>
      <x:c r="D210" s="48"/>
      <x:c r="E210" s="48"/>
      <x:c r="F210" s="48"/>
      <x:c r="G210" s="48"/>
      <x:c r="H210" s="50"/>
      <x:c r="I210" s="50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51"/>
      <x:c r="X210" s="48"/>
      <x:c r="Y210" s="48"/>
      <x:c r="Z210" s="48"/>
      <x:c r="AA210" s="48"/>
      <x:c r="AB210" s="48"/>
      <x:c r="AC210" s="48"/>
      <x:c r="AD210" s="48"/>
      <x:c r="AE210" s="48"/>
      <x:c r="AF210" s="48"/>
      <x:c r="AG210" s="48"/>
      <x:c r="AH210" s="48"/>
      <x:c r="AI210" s="48"/>
      <x:c r="AJ210" s="48"/>
      <x:c r="AK210" s="48"/>
      <x:c r="AL210" s="48"/>
      <x:c r="AM210" s="52"/>
    </x:row>
    <x:row r="211">
      <x:c r="A211" s="47"/>
      <x:c r="B211" s="48"/>
      <x:c r="C211" s="49"/>
      <x:c r="D211" s="48"/>
      <x:c r="E211" s="48"/>
      <x:c r="F211" s="48"/>
      <x:c r="G211" s="48"/>
      <x:c r="H211" s="50"/>
      <x:c r="I211" s="50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51"/>
      <x:c r="X211" s="48"/>
      <x:c r="Y211" s="48"/>
      <x:c r="Z211" s="48"/>
      <x:c r="AA211" s="48"/>
      <x:c r="AB211" s="48"/>
      <x:c r="AC211" s="48"/>
      <x:c r="AD211" s="48"/>
      <x:c r="AE211" s="48"/>
      <x:c r="AF211" s="48"/>
      <x:c r="AG211" s="48"/>
      <x:c r="AH211" s="48"/>
      <x:c r="AI211" s="48"/>
      <x:c r="AJ211" s="48"/>
      <x:c r="AK211" s="48"/>
      <x:c r="AL211" s="48"/>
      <x:c r="AM211" s="52"/>
    </x:row>
    <x:row r="212">
      <x:c r="A212" s="47"/>
      <x:c r="B212" s="48"/>
      <x:c r="C212" s="49"/>
      <x:c r="D212" s="48"/>
      <x:c r="E212" s="48"/>
      <x:c r="F212" s="48"/>
      <x:c r="G212" s="48"/>
      <x:c r="H212" s="50"/>
      <x:c r="I212" s="50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51"/>
      <x:c r="X212" s="48"/>
      <x:c r="Y212" s="48"/>
      <x:c r="Z212" s="48"/>
      <x:c r="AA212" s="48"/>
      <x:c r="AB212" s="48"/>
      <x:c r="AC212" s="48"/>
      <x:c r="AD212" s="48"/>
      <x:c r="AE212" s="48"/>
      <x:c r="AF212" s="48"/>
      <x:c r="AG212" s="48"/>
      <x:c r="AH212" s="48"/>
      <x:c r="AI212" s="48"/>
      <x:c r="AJ212" s="48"/>
      <x:c r="AK212" s="48"/>
      <x:c r="AL212" s="48"/>
      <x:c r="AM212" s="52"/>
    </x:row>
    <x:row r="213">
      <x:c r="A213" s="47"/>
      <x:c r="B213" s="48"/>
      <x:c r="C213" s="49"/>
      <x:c r="D213" s="48"/>
      <x:c r="E213" s="48"/>
      <x:c r="F213" s="48"/>
      <x:c r="G213" s="48"/>
      <x:c r="H213" s="50"/>
      <x:c r="I213" s="50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51"/>
      <x:c r="X213" s="48"/>
      <x:c r="Y213" s="48"/>
      <x:c r="Z213" s="48"/>
      <x:c r="AA213" s="48"/>
      <x:c r="AB213" s="48"/>
      <x:c r="AC213" s="48"/>
      <x:c r="AD213" s="48"/>
      <x:c r="AE213" s="48"/>
      <x:c r="AF213" s="48"/>
      <x:c r="AG213" s="48"/>
      <x:c r="AH213" s="48"/>
      <x:c r="AI213" s="48"/>
      <x:c r="AJ213" s="48"/>
      <x:c r="AK213" s="48"/>
      <x:c r="AL213" s="48"/>
      <x:c r="AM213" s="52"/>
    </x:row>
    <x:row r="214">
      <x:c r="A214" s="47"/>
      <x:c r="B214" s="48"/>
      <x:c r="C214" s="49"/>
      <x:c r="D214" s="48"/>
      <x:c r="E214" s="48"/>
      <x:c r="F214" s="48"/>
      <x:c r="G214" s="48"/>
      <x:c r="H214" s="50"/>
      <x:c r="I214" s="50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51"/>
      <x:c r="X214" s="48"/>
      <x:c r="Y214" s="48"/>
      <x:c r="Z214" s="48"/>
      <x:c r="AA214" s="48"/>
      <x:c r="AB214" s="48"/>
      <x:c r="AC214" s="48"/>
      <x:c r="AD214" s="48"/>
      <x:c r="AE214" s="48"/>
      <x:c r="AF214" s="48"/>
      <x:c r="AG214" s="48"/>
      <x:c r="AH214" s="48"/>
      <x:c r="AI214" s="48"/>
      <x:c r="AJ214" s="48"/>
      <x:c r="AK214" s="48"/>
      <x:c r="AL214" s="48"/>
      <x:c r="AM214" s="52"/>
    </x:row>
    <x:row r="215">
      <x:c r="A215" s="47"/>
      <x:c r="B215" s="48"/>
      <x:c r="C215" s="49"/>
      <x:c r="D215" s="48"/>
      <x:c r="E215" s="48"/>
      <x:c r="F215" s="48"/>
      <x:c r="G215" s="48"/>
      <x:c r="H215" s="50"/>
      <x:c r="I215" s="50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51"/>
      <x:c r="X215" s="48"/>
      <x:c r="Y215" s="48"/>
      <x:c r="Z215" s="48"/>
      <x:c r="AA215" s="48"/>
      <x:c r="AB215" s="48"/>
      <x:c r="AC215" s="48"/>
      <x:c r="AD215" s="48"/>
      <x:c r="AE215" s="48"/>
      <x:c r="AF215" s="48"/>
      <x:c r="AG215" s="48"/>
      <x:c r="AH215" s="48"/>
      <x:c r="AI215" s="48"/>
      <x:c r="AJ215" s="48"/>
      <x:c r="AK215" s="48"/>
      <x:c r="AL215" s="48"/>
      <x:c r="AM215" s="52"/>
    </x:row>
    <x:row r="216">
      <x:c r="A216" s="47"/>
      <x:c r="B216" s="48"/>
      <x:c r="C216" s="49"/>
      <x:c r="D216" s="48"/>
      <x:c r="E216" s="48"/>
      <x:c r="F216" s="48"/>
      <x:c r="G216" s="48"/>
      <x:c r="H216" s="50"/>
      <x:c r="I216" s="50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51"/>
      <x:c r="X216" s="48"/>
      <x:c r="Y216" s="48"/>
      <x:c r="Z216" s="48"/>
      <x:c r="AA216" s="48"/>
      <x:c r="AB216" s="48"/>
      <x:c r="AC216" s="48"/>
      <x:c r="AD216" s="48"/>
      <x:c r="AE216" s="48"/>
      <x:c r="AF216" s="48"/>
      <x:c r="AG216" s="48"/>
      <x:c r="AH216" s="48"/>
      <x:c r="AI216" s="48"/>
      <x:c r="AJ216" s="48"/>
      <x:c r="AK216" s="48"/>
      <x:c r="AL216" s="48"/>
      <x:c r="AM216" s="52"/>
    </x:row>
    <x:row r="217">
      <x:c r="A217" s="47"/>
      <x:c r="B217" s="48"/>
      <x:c r="C217" s="49"/>
      <x:c r="D217" s="48"/>
      <x:c r="E217" s="48"/>
      <x:c r="F217" s="48"/>
      <x:c r="G217" s="48"/>
      <x:c r="H217" s="50"/>
      <x:c r="I217" s="50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51"/>
      <x:c r="X217" s="48"/>
      <x:c r="Y217" s="48"/>
      <x:c r="Z217" s="48"/>
      <x:c r="AA217" s="48"/>
      <x:c r="AB217" s="48"/>
      <x:c r="AC217" s="48"/>
      <x:c r="AD217" s="48"/>
      <x:c r="AE217" s="48"/>
      <x:c r="AF217" s="48"/>
      <x:c r="AG217" s="48"/>
      <x:c r="AH217" s="48"/>
      <x:c r="AI217" s="48"/>
      <x:c r="AJ217" s="48"/>
      <x:c r="AK217" s="48"/>
      <x:c r="AL217" s="48"/>
      <x:c r="AM217" s="52"/>
    </x:row>
    <x:row r="218">
      <x:c r="A218" s="47"/>
      <x:c r="B218" s="48"/>
      <x:c r="C218" s="49"/>
      <x:c r="D218" s="48"/>
      <x:c r="E218" s="48"/>
      <x:c r="F218" s="48"/>
      <x:c r="G218" s="48"/>
      <x:c r="H218" s="50"/>
      <x:c r="I218" s="50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51"/>
      <x:c r="X218" s="48"/>
      <x:c r="Y218" s="48"/>
      <x:c r="Z218" s="48"/>
      <x:c r="AA218" s="48"/>
      <x:c r="AB218" s="48"/>
      <x:c r="AC218" s="48"/>
      <x:c r="AD218" s="48"/>
      <x:c r="AE218" s="48"/>
      <x:c r="AF218" s="48"/>
      <x:c r="AG218" s="48"/>
      <x:c r="AH218" s="48"/>
      <x:c r="AI218" s="48"/>
      <x:c r="AJ218" s="48"/>
      <x:c r="AK218" s="48"/>
      <x:c r="AL218" s="48"/>
      <x:c r="AM218" s="52"/>
    </x:row>
    <x:row r="219">
      <x:c r="A219" s="47"/>
      <x:c r="B219" s="48"/>
      <x:c r="C219" s="49"/>
      <x:c r="D219" s="48"/>
      <x:c r="E219" s="48"/>
      <x:c r="F219" s="48"/>
      <x:c r="G219" s="48"/>
      <x:c r="H219" s="50"/>
      <x:c r="I219" s="50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51"/>
      <x:c r="X219" s="48"/>
      <x:c r="Y219" s="48"/>
      <x:c r="Z219" s="48"/>
      <x:c r="AA219" s="48"/>
      <x:c r="AB219" s="48"/>
      <x:c r="AC219" s="48"/>
      <x:c r="AD219" s="48"/>
      <x:c r="AE219" s="48"/>
      <x:c r="AF219" s="48"/>
      <x:c r="AG219" s="48"/>
      <x:c r="AH219" s="48"/>
      <x:c r="AI219" s="48"/>
      <x:c r="AJ219" s="48"/>
      <x:c r="AK219" s="48"/>
      <x:c r="AL219" s="48"/>
      <x:c r="AM219" s="52"/>
    </x:row>
    <x:row r="220">
      <x:c r="A220" s="47"/>
      <x:c r="B220" s="48"/>
      <x:c r="C220" s="49"/>
      <x:c r="D220" s="48"/>
      <x:c r="E220" s="48"/>
      <x:c r="F220" s="48"/>
      <x:c r="G220" s="48"/>
      <x:c r="H220" s="50"/>
      <x:c r="I220" s="50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51"/>
      <x:c r="X220" s="48"/>
      <x:c r="Y220" s="48"/>
      <x:c r="Z220" s="48"/>
      <x:c r="AA220" s="48"/>
      <x:c r="AB220" s="48"/>
      <x:c r="AC220" s="48"/>
      <x:c r="AD220" s="48"/>
      <x:c r="AE220" s="48"/>
      <x:c r="AF220" s="48"/>
      <x:c r="AG220" s="48"/>
      <x:c r="AH220" s="48"/>
      <x:c r="AI220" s="48"/>
      <x:c r="AJ220" s="48"/>
      <x:c r="AK220" s="48"/>
      <x:c r="AL220" s="48"/>
      <x:c r="AM220" s="52"/>
    </x:row>
    <x:row r="221">
      <x:c r="A221" s="47"/>
      <x:c r="B221" s="48"/>
      <x:c r="C221" s="49"/>
      <x:c r="D221" s="48"/>
      <x:c r="E221" s="48"/>
      <x:c r="F221" s="48"/>
      <x:c r="G221" s="48"/>
      <x:c r="H221" s="50"/>
      <x:c r="I221" s="50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51"/>
      <x:c r="X221" s="48"/>
      <x:c r="Y221" s="48"/>
      <x:c r="Z221" s="48"/>
      <x:c r="AA221" s="48"/>
      <x:c r="AB221" s="48"/>
      <x:c r="AC221" s="48"/>
      <x:c r="AD221" s="48"/>
      <x:c r="AE221" s="48"/>
      <x:c r="AF221" s="48"/>
      <x:c r="AG221" s="48"/>
      <x:c r="AH221" s="48"/>
      <x:c r="AI221" s="48"/>
      <x:c r="AJ221" s="48"/>
      <x:c r="AK221" s="48"/>
      <x:c r="AL221" s="48"/>
      <x:c r="AM221" s="52"/>
    </x:row>
    <x:row r="222">
      <x:c r="A222" s="47"/>
      <x:c r="B222" s="48"/>
      <x:c r="C222" s="49"/>
      <x:c r="D222" s="48"/>
      <x:c r="E222" s="48"/>
      <x:c r="F222" s="48"/>
      <x:c r="G222" s="48"/>
      <x:c r="H222" s="50"/>
      <x:c r="I222" s="50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51"/>
      <x:c r="X222" s="48"/>
      <x:c r="Y222" s="48"/>
      <x:c r="Z222" s="48"/>
      <x:c r="AA222" s="48"/>
      <x:c r="AB222" s="48"/>
      <x:c r="AC222" s="48"/>
      <x:c r="AD222" s="48"/>
      <x:c r="AE222" s="48"/>
      <x:c r="AF222" s="48"/>
      <x:c r="AG222" s="48"/>
      <x:c r="AH222" s="48"/>
      <x:c r="AI222" s="48"/>
      <x:c r="AJ222" s="48"/>
      <x:c r="AK222" s="48"/>
      <x:c r="AL222" s="48"/>
      <x:c r="AM222" s="52"/>
    </x:row>
    <x:row r="223">
      <x:c r="A223" s="47"/>
      <x:c r="B223" s="48"/>
      <x:c r="C223" s="49"/>
      <x:c r="D223" s="48"/>
      <x:c r="E223" s="48"/>
      <x:c r="F223" s="48"/>
      <x:c r="G223" s="48"/>
      <x:c r="H223" s="50"/>
      <x:c r="I223" s="50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51"/>
      <x:c r="X223" s="48"/>
      <x:c r="Y223" s="48"/>
      <x:c r="Z223" s="48"/>
      <x:c r="AA223" s="48"/>
      <x:c r="AB223" s="48"/>
      <x:c r="AC223" s="48"/>
      <x:c r="AD223" s="48"/>
      <x:c r="AE223" s="48"/>
      <x:c r="AF223" s="48"/>
      <x:c r="AG223" s="48"/>
      <x:c r="AH223" s="48"/>
      <x:c r="AI223" s="48"/>
      <x:c r="AJ223" s="48"/>
      <x:c r="AK223" s="48"/>
      <x:c r="AL223" s="48"/>
      <x:c r="AM223" s="52"/>
    </x:row>
    <x:row r="224">
      <x:c r="A224" s="47"/>
      <x:c r="B224" s="48"/>
      <x:c r="C224" s="49"/>
      <x:c r="D224" s="48"/>
      <x:c r="E224" s="48"/>
      <x:c r="F224" s="48"/>
      <x:c r="G224" s="48"/>
      <x:c r="H224" s="50"/>
      <x:c r="I224" s="50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51"/>
      <x:c r="X224" s="48"/>
      <x:c r="Y224" s="48"/>
      <x:c r="Z224" s="48"/>
      <x:c r="AA224" s="48"/>
      <x:c r="AB224" s="48"/>
      <x:c r="AC224" s="48"/>
      <x:c r="AD224" s="48"/>
      <x:c r="AE224" s="48"/>
      <x:c r="AF224" s="48"/>
      <x:c r="AG224" s="48"/>
      <x:c r="AH224" s="48"/>
      <x:c r="AI224" s="48"/>
      <x:c r="AJ224" s="48"/>
      <x:c r="AK224" s="48"/>
      <x:c r="AL224" s="48"/>
      <x:c r="AM224" s="52"/>
    </x:row>
    <x:row r="225">
      <x:c r="A225" s="47"/>
      <x:c r="B225" s="48"/>
      <x:c r="C225" s="49"/>
      <x:c r="D225" s="48"/>
      <x:c r="E225" s="48"/>
      <x:c r="F225" s="48"/>
      <x:c r="G225" s="48"/>
      <x:c r="H225" s="50"/>
      <x:c r="I225" s="50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51"/>
      <x:c r="X225" s="48"/>
      <x:c r="Y225" s="48"/>
      <x:c r="Z225" s="48"/>
      <x:c r="AA225" s="48"/>
      <x:c r="AB225" s="48"/>
      <x:c r="AC225" s="48"/>
      <x:c r="AD225" s="48"/>
      <x:c r="AE225" s="48"/>
      <x:c r="AF225" s="48"/>
      <x:c r="AG225" s="48"/>
      <x:c r="AH225" s="48"/>
      <x:c r="AI225" s="48"/>
      <x:c r="AJ225" s="48"/>
      <x:c r="AK225" s="48"/>
      <x:c r="AL225" s="48"/>
      <x:c r="AM225" s="52"/>
    </x:row>
    <x:row r="226">
      <x:c r="A226" s="47"/>
      <x:c r="B226" s="48"/>
      <x:c r="C226" s="49"/>
      <x:c r="D226" s="48"/>
      <x:c r="E226" s="48"/>
      <x:c r="F226" s="48"/>
      <x:c r="G226" s="48"/>
      <x:c r="H226" s="50"/>
      <x:c r="I226" s="50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51"/>
      <x:c r="X226" s="48"/>
      <x:c r="Y226" s="48"/>
      <x:c r="Z226" s="48"/>
      <x:c r="AA226" s="48"/>
      <x:c r="AB226" s="48"/>
      <x:c r="AC226" s="48"/>
      <x:c r="AD226" s="48"/>
      <x:c r="AE226" s="48"/>
      <x:c r="AF226" s="48"/>
      <x:c r="AG226" s="48"/>
      <x:c r="AH226" s="48"/>
      <x:c r="AI226" s="48"/>
      <x:c r="AJ226" s="48"/>
      <x:c r="AK226" s="48"/>
      <x:c r="AL226" s="48"/>
      <x:c r="AM226" s="52"/>
    </x:row>
    <x:row r="227">
      <x:c r="A227" s="47"/>
      <x:c r="B227" s="48"/>
      <x:c r="C227" s="49"/>
      <x:c r="D227" s="48"/>
      <x:c r="E227" s="48"/>
      <x:c r="F227" s="48"/>
      <x:c r="G227" s="48"/>
      <x:c r="H227" s="50"/>
      <x:c r="I227" s="50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51"/>
      <x:c r="X227" s="48"/>
      <x:c r="Y227" s="48"/>
      <x:c r="Z227" s="48"/>
      <x:c r="AA227" s="48"/>
      <x:c r="AB227" s="48"/>
      <x:c r="AC227" s="48"/>
      <x:c r="AD227" s="48"/>
      <x:c r="AE227" s="48"/>
      <x:c r="AF227" s="48"/>
      <x:c r="AG227" s="48"/>
      <x:c r="AH227" s="48"/>
      <x:c r="AI227" s="48"/>
      <x:c r="AJ227" s="48"/>
      <x:c r="AK227" s="48"/>
      <x:c r="AL227" s="48"/>
      <x:c r="AM227" s="52"/>
    </x:row>
    <x:row r="228">
      <x:c r="A228" s="47"/>
      <x:c r="B228" s="48"/>
      <x:c r="C228" s="49"/>
      <x:c r="D228" s="48"/>
      <x:c r="E228" s="48"/>
      <x:c r="F228" s="48"/>
      <x:c r="G228" s="48"/>
      <x:c r="H228" s="50"/>
      <x:c r="I228" s="50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51"/>
      <x:c r="X228" s="48"/>
      <x:c r="Y228" s="48"/>
      <x:c r="Z228" s="48"/>
      <x:c r="AA228" s="48"/>
      <x:c r="AB228" s="48"/>
      <x:c r="AC228" s="48"/>
      <x:c r="AD228" s="48"/>
      <x:c r="AE228" s="48"/>
      <x:c r="AF228" s="48"/>
      <x:c r="AG228" s="48"/>
      <x:c r="AH228" s="48"/>
      <x:c r="AI228" s="48"/>
      <x:c r="AJ228" s="48"/>
      <x:c r="AK228" s="48"/>
      <x:c r="AL228" s="48"/>
      <x:c r="AM228" s="52"/>
    </x:row>
    <x:row r="229">
      <x:c r="A229" s="47"/>
      <x:c r="B229" s="48"/>
      <x:c r="C229" s="49"/>
      <x:c r="D229" s="48"/>
      <x:c r="E229" s="48"/>
      <x:c r="F229" s="48"/>
      <x:c r="G229" s="48"/>
      <x:c r="H229" s="50"/>
      <x:c r="I229" s="50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51"/>
      <x:c r="X229" s="48"/>
      <x:c r="Y229" s="48"/>
      <x:c r="Z229" s="48"/>
      <x:c r="AA229" s="48"/>
      <x:c r="AB229" s="48"/>
      <x:c r="AC229" s="48"/>
      <x:c r="AD229" s="48"/>
      <x:c r="AE229" s="48"/>
      <x:c r="AF229" s="48"/>
      <x:c r="AG229" s="48"/>
      <x:c r="AH229" s="48"/>
      <x:c r="AI229" s="48"/>
      <x:c r="AJ229" s="48"/>
      <x:c r="AK229" s="48"/>
      <x:c r="AL229" s="48"/>
      <x:c r="AM229" s="52"/>
    </x:row>
    <x:row r="230">
      <x:c r="A230" s="47"/>
      <x:c r="B230" s="48"/>
      <x:c r="C230" s="49"/>
      <x:c r="D230" s="48"/>
      <x:c r="E230" s="48"/>
      <x:c r="F230" s="48"/>
      <x:c r="G230" s="48"/>
      <x:c r="H230" s="50"/>
      <x:c r="I230" s="50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51"/>
      <x:c r="X230" s="48"/>
      <x:c r="Y230" s="48"/>
      <x:c r="Z230" s="48"/>
      <x:c r="AA230" s="48"/>
      <x:c r="AB230" s="48"/>
      <x:c r="AC230" s="48"/>
      <x:c r="AD230" s="48"/>
      <x:c r="AE230" s="48"/>
      <x:c r="AF230" s="48"/>
      <x:c r="AG230" s="48"/>
      <x:c r="AH230" s="48"/>
      <x:c r="AI230" s="48"/>
      <x:c r="AJ230" s="48"/>
      <x:c r="AK230" s="48"/>
      <x:c r="AL230" s="48"/>
      <x:c r="AM230" s="52"/>
    </x:row>
    <x:row r="231">
      <x:c r="A231" s="47"/>
      <x:c r="B231" s="48"/>
      <x:c r="C231" s="49"/>
      <x:c r="D231" s="48"/>
      <x:c r="E231" s="48"/>
      <x:c r="F231" s="48"/>
      <x:c r="G231" s="48"/>
      <x:c r="H231" s="50"/>
      <x:c r="I231" s="50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51"/>
      <x:c r="X231" s="48"/>
      <x:c r="Y231" s="48"/>
      <x:c r="Z231" s="48"/>
      <x:c r="AA231" s="48"/>
      <x:c r="AB231" s="48"/>
      <x:c r="AC231" s="48"/>
      <x:c r="AD231" s="48"/>
      <x:c r="AE231" s="48"/>
      <x:c r="AF231" s="48"/>
      <x:c r="AG231" s="48"/>
      <x:c r="AH231" s="48"/>
      <x:c r="AI231" s="48"/>
      <x:c r="AJ231" s="48"/>
      <x:c r="AK231" s="48"/>
      <x:c r="AL231" s="48"/>
      <x:c r="AM231" s="52"/>
    </x:row>
    <x:row r="232">
      <x:c r="A232" s="47"/>
      <x:c r="B232" s="48"/>
      <x:c r="C232" s="49"/>
      <x:c r="D232" s="48"/>
      <x:c r="E232" s="48"/>
      <x:c r="F232" s="48"/>
      <x:c r="G232" s="48"/>
      <x:c r="H232" s="50"/>
      <x:c r="I232" s="50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51"/>
      <x:c r="X232" s="48"/>
      <x:c r="Y232" s="48"/>
      <x:c r="Z232" s="48"/>
      <x:c r="AA232" s="48"/>
      <x:c r="AB232" s="48"/>
      <x:c r="AC232" s="48"/>
      <x:c r="AD232" s="48"/>
      <x:c r="AE232" s="48"/>
      <x:c r="AF232" s="48"/>
      <x:c r="AG232" s="48"/>
      <x:c r="AH232" s="48"/>
      <x:c r="AI232" s="48"/>
      <x:c r="AJ232" s="48"/>
      <x:c r="AK232" s="48"/>
      <x:c r="AL232" s="48"/>
      <x:c r="AM232" s="52"/>
    </x:row>
    <x:row r="233">
      <x:c r="A233" s="47"/>
      <x:c r="B233" s="48"/>
      <x:c r="C233" s="49"/>
      <x:c r="D233" s="48"/>
      <x:c r="E233" s="48"/>
      <x:c r="F233" s="48"/>
      <x:c r="G233" s="48"/>
      <x:c r="H233" s="50"/>
      <x:c r="I233" s="50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51"/>
      <x:c r="X233" s="48"/>
      <x:c r="Y233" s="48"/>
      <x:c r="Z233" s="48"/>
      <x:c r="AA233" s="48"/>
      <x:c r="AB233" s="48"/>
      <x:c r="AC233" s="48"/>
      <x:c r="AD233" s="48"/>
      <x:c r="AE233" s="48"/>
      <x:c r="AF233" s="48"/>
      <x:c r="AG233" s="48"/>
      <x:c r="AH233" s="48"/>
      <x:c r="AI233" s="48"/>
      <x:c r="AJ233" s="48"/>
      <x:c r="AK233" s="48"/>
      <x:c r="AL233" s="48"/>
      <x:c r="AM233" s="52"/>
    </x:row>
    <x:row r="234">
      <x:c r="A234" s="47"/>
      <x:c r="B234" s="48"/>
      <x:c r="C234" s="49"/>
      <x:c r="D234" s="48"/>
      <x:c r="E234" s="48"/>
      <x:c r="F234" s="48"/>
      <x:c r="G234" s="48"/>
      <x:c r="H234" s="50"/>
      <x:c r="I234" s="50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51"/>
      <x:c r="X234" s="48"/>
      <x:c r="Y234" s="48"/>
      <x:c r="Z234" s="48"/>
      <x:c r="AA234" s="48"/>
      <x:c r="AB234" s="48"/>
      <x:c r="AC234" s="48"/>
      <x:c r="AD234" s="48"/>
      <x:c r="AE234" s="48"/>
      <x:c r="AF234" s="48"/>
      <x:c r="AG234" s="48"/>
      <x:c r="AH234" s="48"/>
      <x:c r="AI234" s="48"/>
      <x:c r="AJ234" s="48"/>
      <x:c r="AK234" s="48"/>
      <x:c r="AL234" s="48"/>
      <x:c r="AM234" s="52"/>
    </x:row>
    <x:row r="235">
      <x:c r="A235" s="47"/>
      <x:c r="B235" s="48"/>
      <x:c r="C235" s="49"/>
      <x:c r="D235" s="48"/>
      <x:c r="E235" s="48"/>
      <x:c r="F235" s="48"/>
      <x:c r="G235" s="48"/>
      <x:c r="H235" s="50"/>
      <x:c r="I235" s="50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51"/>
      <x:c r="X235" s="48"/>
      <x:c r="Y235" s="48"/>
      <x:c r="Z235" s="48"/>
      <x:c r="AA235" s="48"/>
      <x:c r="AB235" s="48"/>
      <x:c r="AC235" s="48"/>
      <x:c r="AD235" s="48"/>
      <x:c r="AE235" s="48"/>
      <x:c r="AF235" s="48"/>
      <x:c r="AG235" s="48"/>
      <x:c r="AH235" s="48"/>
      <x:c r="AI235" s="48"/>
      <x:c r="AJ235" s="48"/>
      <x:c r="AK235" s="48"/>
      <x:c r="AL235" s="48"/>
      <x:c r="AM235" s="52"/>
    </x:row>
    <x:row r="236">
      <x:c r="A236" s="47"/>
      <x:c r="B236" s="48"/>
      <x:c r="C236" s="49"/>
      <x:c r="D236" s="48"/>
      <x:c r="E236" s="48"/>
      <x:c r="F236" s="48"/>
      <x:c r="G236" s="48"/>
      <x:c r="H236" s="50"/>
      <x:c r="I236" s="50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51"/>
      <x:c r="X236" s="48"/>
      <x:c r="Y236" s="48"/>
      <x:c r="Z236" s="48"/>
      <x:c r="AA236" s="48"/>
      <x:c r="AB236" s="48"/>
      <x:c r="AC236" s="48"/>
      <x:c r="AD236" s="48"/>
      <x:c r="AE236" s="48"/>
      <x:c r="AF236" s="48"/>
      <x:c r="AG236" s="48"/>
      <x:c r="AH236" s="48"/>
      <x:c r="AI236" s="48"/>
      <x:c r="AJ236" s="48"/>
      <x:c r="AK236" s="48"/>
      <x:c r="AL236" s="48"/>
      <x:c r="AM236" s="52"/>
    </x:row>
    <x:row r="237">
      <x:c r="A237" s="47"/>
      <x:c r="B237" s="48"/>
      <x:c r="C237" s="49"/>
      <x:c r="D237" s="48"/>
      <x:c r="E237" s="48"/>
      <x:c r="F237" s="48"/>
      <x:c r="G237" s="48"/>
      <x:c r="H237" s="50"/>
      <x:c r="I237" s="50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51"/>
      <x:c r="X237" s="48"/>
      <x:c r="Y237" s="48"/>
      <x:c r="Z237" s="48"/>
      <x:c r="AA237" s="48"/>
      <x:c r="AB237" s="48"/>
      <x:c r="AC237" s="48"/>
      <x:c r="AD237" s="48"/>
      <x:c r="AE237" s="48"/>
      <x:c r="AF237" s="48"/>
      <x:c r="AG237" s="48"/>
      <x:c r="AH237" s="48"/>
      <x:c r="AI237" s="48"/>
      <x:c r="AJ237" s="48"/>
      <x:c r="AK237" s="48"/>
      <x:c r="AL237" s="48"/>
      <x:c r="AM237" s="52"/>
    </x:row>
    <x:row r="238">
      <x:c r="A238" s="47"/>
      <x:c r="B238" s="48"/>
      <x:c r="C238" s="49"/>
      <x:c r="D238" s="48"/>
      <x:c r="E238" s="48"/>
      <x:c r="F238" s="48"/>
      <x:c r="G238" s="48"/>
      <x:c r="H238" s="50"/>
      <x:c r="I238" s="50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51"/>
      <x:c r="X238" s="48"/>
      <x:c r="Y238" s="48"/>
      <x:c r="Z238" s="48"/>
      <x:c r="AA238" s="48"/>
      <x:c r="AB238" s="48"/>
      <x:c r="AC238" s="48"/>
      <x:c r="AD238" s="48"/>
      <x:c r="AE238" s="48"/>
      <x:c r="AF238" s="48"/>
      <x:c r="AG238" s="48"/>
      <x:c r="AH238" s="48"/>
      <x:c r="AI238" s="48"/>
      <x:c r="AJ238" s="48"/>
      <x:c r="AK238" s="48"/>
      <x:c r="AL238" s="48"/>
      <x:c r="AM238" s="52"/>
    </x:row>
    <x:row r="239">
      <x:c r="A239" s="47"/>
      <x:c r="B239" s="48"/>
      <x:c r="C239" s="49"/>
      <x:c r="D239" s="48"/>
      <x:c r="E239" s="48"/>
      <x:c r="F239" s="48"/>
      <x:c r="G239" s="48"/>
      <x:c r="H239" s="50"/>
      <x:c r="I239" s="50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51"/>
      <x:c r="X239" s="48"/>
      <x:c r="Y239" s="48"/>
      <x:c r="Z239" s="48"/>
      <x:c r="AA239" s="48"/>
      <x:c r="AB239" s="48"/>
      <x:c r="AC239" s="48"/>
      <x:c r="AD239" s="48"/>
      <x:c r="AE239" s="48"/>
      <x:c r="AF239" s="48"/>
      <x:c r="AG239" s="48"/>
      <x:c r="AH239" s="48"/>
      <x:c r="AI239" s="48"/>
      <x:c r="AJ239" s="48"/>
      <x:c r="AK239" s="48"/>
      <x:c r="AL239" s="48"/>
      <x:c r="AM239" s="52"/>
    </x:row>
    <x:row r="240">
      <x:c r="A240" s="47"/>
      <x:c r="B240" s="48"/>
      <x:c r="C240" s="49"/>
      <x:c r="D240" s="48"/>
      <x:c r="E240" s="48"/>
      <x:c r="F240" s="48"/>
      <x:c r="G240" s="48"/>
      <x:c r="H240" s="50"/>
      <x:c r="I240" s="50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51"/>
      <x:c r="X240" s="48"/>
      <x:c r="Y240" s="48"/>
      <x:c r="Z240" s="48"/>
      <x:c r="AA240" s="48"/>
      <x:c r="AB240" s="48"/>
      <x:c r="AC240" s="48"/>
      <x:c r="AD240" s="48"/>
      <x:c r="AE240" s="48"/>
      <x:c r="AF240" s="48"/>
      <x:c r="AG240" s="48"/>
      <x:c r="AH240" s="48"/>
      <x:c r="AI240" s="48"/>
      <x:c r="AJ240" s="48"/>
      <x:c r="AK240" s="48"/>
      <x:c r="AL240" s="48"/>
      <x:c r="AM240" s="52"/>
    </x:row>
    <x:row r="241">
      <x:c r="A241" s="47"/>
      <x:c r="B241" s="48"/>
      <x:c r="C241" s="49"/>
      <x:c r="D241" s="48"/>
      <x:c r="E241" s="48"/>
      <x:c r="F241" s="48"/>
      <x:c r="G241" s="48"/>
      <x:c r="H241" s="50"/>
      <x:c r="I241" s="50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51"/>
      <x:c r="X241" s="48"/>
      <x:c r="Y241" s="48"/>
      <x:c r="Z241" s="48"/>
      <x:c r="AA241" s="48"/>
      <x:c r="AB241" s="48"/>
      <x:c r="AC241" s="48"/>
      <x:c r="AD241" s="48"/>
      <x:c r="AE241" s="48"/>
      <x:c r="AF241" s="48"/>
      <x:c r="AG241" s="48"/>
      <x:c r="AH241" s="48"/>
      <x:c r="AI241" s="48"/>
      <x:c r="AJ241" s="48"/>
      <x:c r="AK241" s="48"/>
      <x:c r="AL241" s="48"/>
      <x:c r="AM241" s="52"/>
    </x:row>
    <x:row r="242">
      <x:c r="A242" s="47"/>
      <x:c r="B242" s="48"/>
      <x:c r="C242" s="49"/>
      <x:c r="D242" s="48"/>
      <x:c r="E242" s="48"/>
      <x:c r="F242" s="48"/>
      <x:c r="G242" s="48"/>
      <x:c r="H242" s="50"/>
      <x:c r="I242" s="50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51"/>
      <x:c r="X242" s="48"/>
      <x:c r="Y242" s="48"/>
      <x:c r="Z242" s="48"/>
      <x:c r="AA242" s="48"/>
      <x:c r="AB242" s="48"/>
      <x:c r="AC242" s="48"/>
      <x:c r="AD242" s="48"/>
      <x:c r="AE242" s="48"/>
      <x:c r="AF242" s="48"/>
      <x:c r="AG242" s="48"/>
      <x:c r="AH242" s="48"/>
      <x:c r="AI242" s="48"/>
      <x:c r="AJ242" s="48"/>
      <x:c r="AK242" s="48"/>
      <x:c r="AL242" s="48"/>
      <x:c r="AM242" s="52"/>
    </x:row>
    <x:row r="243">
      <x:c r="A243" s="47"/>
      <x:c r="B243" s="48"/>
      <x:c r="C243" s="49"/>
      <x:c r="D243" s="48"/>
      <x:c r="E243" s="48"/>
      <x:c r="F243" s="48"/>
      <x:c r="G243" s="48"/>
      <x:c r="H243" s="50"/>
      <x:c r="I243" s="50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51"/>
      <x:c r="X243" s="48"/>
      <x:c r="Y243" s="48"/>
      <x:c r="Z243" s="48"/>
      <x:c r="AA243" s="48"/>
      <x:c r="AB243" s="48"/>
      <x:c r="AC243" s="48"/>
      <x:c r="AD243" s="48"/>
      <x:c r="AE243" s="48"/>
      <x:c r="AF243" s="48"/>
      <x:c r="AG243" s="48"/>
      <x:c r="AH243" s="48"/>
      <x:c r="AI243" s="48"/>
      <x:c r="AJ243" s="48"/>
      <x:c r="AK243" s="48"/>
      <x:c r="AL243" s="48"/>
      <x:c r="AM243" s="52"/>
    </x:row>
    <x:row r="244">
      <x:c r="A244" s="47"/>
      <x:c r="B244" s="48"/>
      <x:c r="C244" s="49"/>
      <x:c r="D244" s="48"/>
      <x:c r="E244" s="48"/>
      <x:c r="F244" s="48"/>
      <x:c r="G244" s="48"/>
      <x:c r="H244" s="50"/>
      <x:c r="I244" s="50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51"/>
      <x:c r="X244" s="48"/>
      <x:c r="Y244" s="48"/>
      <x:c r="Z244" s="48"/>
      <x:c r="AA244" s="48"/>
      <x:c r="AB244" s="48"/>
      <x:c r="AC244" s="48"/>
      <x:c r="AD244" s="48"/>
      <x:c r="AE244" s="48"/>
      <x:c r="AF244" s="48"/>
      <x:c r="AG244" s="48"/>
      <x:c r="AH244" s="48"/>
      <x:c r="AI244" s="48"/>
      <x:c r="AJ244" s="48"/>
      <x:c r="AK244" s="48"/>
      <x:c r="AL244" s="48"/>
      <x:c r="AM244" s="52"/>
    </x:row>
    <x:row r="245">
      <x:c r="A245" s="47"/>
      <x:c r="B245" s="48"/>
      <x:c r="C245" s="49"/>
      <x:c r="D245" s="48"/>
      <x:c r="E245" s="48"/>
      <x:c r="F245" s="48"/>
      <x:c r="G245" s="48"/>
      <x:c r="H245" s="50"/>
      <x:c r="I245" s="50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51"/>
      <x:c r="X245" s="48"/>
      <x:c r="Y245" s="48"/>
      <x:c r="Z245" s="48"/>
      <x:c r="AA245" s="48"/>
      <x:c r="AB245" s="48"/>
      <x:c r="AC245" s="48"/>
      <x:c r="AD245" s="48"/>
      <x:c r="AE245" s="48"/>
      <x:c r="AF245" s="48"/>
      <x:c r="AG245" s="48"/>
      <x:c r="AH245" s="48"/>
      <x:c r="AI245" s="48"/>
      <x:c r="AJ245" s="48"/>
      <x:c r="AK245" s="48"/>
      <x:c r="AL245" s="48"/>
      <x:c r="AM245" s="52"/>
    </x:row>
    <x:row r="246">
      <x:c r="A246" s="47"/>
      <x:c r="B246" s="48"/>
      <x:c r="C246" s="49"/>
      <x:c r="D246" s="48"/>
      <x:c r="E246" s="48"/>
      <x:c r="F246" s="48"/>
      <x:c r="G246" s="48"/>
      <x:c r="H246" s="50"/>
      <x:c r="I246" s="50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51"/>
      <x:c r="X246" s="48"/>
      <x:c r="Y246" s="48"/>
      <x:c r="Z246" s="48"/>
      <x:c r="AA246" s="48"/>
      <x:c r="AB246" s="48"/>
      <x:c r="AC246" s="48"/>
      <x:c r="AD246" s="48"/>
      <x:c r="AE246" s="48"/>
      <x:c r="AF246" s="48"/>
      <x:c r="AG246" s="48"/>
      <x:c r="AH246" s="48"/>
      <x:c r="AI246" s="48"/>
      <x:c r="AJ246" s="48"/>
      <x:c r="AK246" s="48"/>
      <x:c r="AL246" s="48"/>
      <x:c r="AM246" s="52"/>
    </x:row>
    <x:row r="247">
      <x:c r="A247" s="47"/>
      <x:c r="B247" s="48"/>
      <x:c r="C247" s="49"/>
      <x:c r="D247" s="48"/>
      <x:c r="E247" s="48"/>
      <x:c r="F247" s="48"/>
      <x:c r="G247" s="48"/>
      <x:c r="H247" s="50"/>
      <x:c r="I247" s="50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51"/>
      <x:c r="X247" s="48"/>
      <x:c r="Y247" s="48"/>
      <x:c r="Z247" s="48"/>
      <x:c r="AA247" s="48"/>
      <x:c r="AB247" s="48"/>
      <x:c r="AC247" s="48"/>
      <x:c r="AD247" s="48"/>
      <x:c r="AE247" s="48"/>
      <x:c r="AF247" s="48"/>
      <x:c r="AG247" s="48"/>
      <x:c r="AH247" s="48"/>
      <x:c r="AI247" s="48"/>
      <x:c r="AJ247" s="48"/>
      <x:c r="AK247" s="48"/>
      <x:c r="AL247" s="48"/>
      <x:c r="AM247" s="52"/>
    </x:row>
    <x:row r="248">
      <x:c r="A248" s="47"/>
      <x:c r="B248" s="48"/>
      <x:c r="C248" s="49"/>
      <x:c r="D248" s="48"/>
      <x:c r="E248" s="48"/>
      <x:c r="F248" s="48"/>
      <x:c r="G248" s="48"/>
      <x:c r="H248" s="50"/>
      <x:c r="I248" s="50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51"/>
      <x:c r="X248" s="48"/>
      <x:c r="Y248" s="48"/>
      <x:c r="Z248" s="48"/>
      <x:c r="AA248" s="48"/>
      <x:c r="AB248" s="48"/>
      <x:c r="AC248" s="48"/>
      <x:c r="AD248" s="48"/>
      <x:c r="AE248" s="48"/>
      <x:c r="AF248" s="48"/>
      <x:c r="AG248" s="48"/>
      <x:c r="AH248" s="48"/>
      <x:c r="AI248" s="48"/>
      <x:c r="AJ248" s="48"/>
      <x:c r="AK248" s="48"/>
      <x:c r="AL248" s="48"/>
      <x:c r="AM248" s="52"/>
    </x:row>
    <x:row r="249">
      <x:c r="A249" s="47"/>
      <x:c r="B249" s="48"/>
      <x:c r="C249" s="49"/>
      <x:c r="D249" s="48"/>
      <x:c r="E249" s="48"/>
      <x:c r="F249" s="48"/>
      <x:c r="G249" s="48"/>
      <x:c r="H249" s="50"/>
      <x:c r="I249" s="50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51"/>
      <x:c r="X249" s="48"/>
      <x:c r="Y249" s="48"/>
      <x:c r="Z249" s="48"/>
      <x:c r="AA249" s="48"/>
      <x:c r="AB249" s="48"/>
      <x:c r="AC249" s="48"/>
      <x:c r="AD249" s="48"/>
      <x:c r="AE249" s="48"/>
      <x:c r="AF249" s="48"/>
      <x:c r="AG249" s="48"/>
      <x:c r="AH249" s="48"/>
      <x:c r="AI249" s="48"/>
      <x:c r="AJ249" s="48"/>
      <x:c r="AK249" s="48"/>
      <x:c r="AL249" s="48"/>
      <x:c r="AM249" s="52"/>
    </x:row>
    <x:row r="250">
      <x:c r="A250" s="47"/>
      <x:c r="B250" s="48"/>
      <x:c r="C250" s="49"/>
      <x:c r="D250" s="48"/>
      <x:c r="E250" s="48"/>
      <x:c r="F250" s="48"/>
      <x:c r="G250" s="48"/>
      <x:c r="H250" s="50"/>
      <x:c r="I250" s="50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51"/>
      <x:c r="X250" s="48"/>
      <x:c r="Y250" s="48"/>
      <x:c r="Z250" s="48"/>
      <x:c r="AA250" s="48"/>
      <x:c r="AB250" s="48"/>
      <x:c r="AC250" s="48"/>
      <x:c r="AD250" s="48"/>
      <x:c r="AE250" s="48"/>
      <x:c r="AF250" s="48"/>
      <x:c r="AG250" s="48"/>
      <x:c r="AH250" s="48"/>
      <x:c r="AI250" s="48"/>
      <x:c r="AJ250" s="48"/>
      <x:c r="AK250" s="48"/>
      <x:c r="AL250" s="48"/>
      <x:c r="AM250" s="52"/>
    </x:row>
    <x:row r="251">
      <x:c r="A251" s="47"/>
      <x:c r="B251" s="48"/>
      <x:c r="C251" s="49"/>
      <x:c r="D251" s="48"/>
      <x:c r="E251" s="48"/>
      <x:c r="F251" s="48"/>
      <x:c r="G251" s="48"/>
      <x:c r="H251" s="50"/>
      <x:c r="I251" s="50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51"/>
      <x:c r="X251" s="48"/>
      <x:c r="Y251" s="48"/>
      <x:c r="Z251" s="48"/>
      <x:c r="AA251" s="48"/>
      <x:c r="AB251" s="48"/>
      <x:c r="AC251" s="48"/>
      <x:c r="AD251" s="48"/>
      <x:c r="AE251" s="48"/>
      <x:c r="AF251" s="48"/>
      <x:c r="AG251" s="48"/>
      <x:c r="AH251" s="48"/>
      <x:c r="AI251" s="48"/>
      <x:c r="AJ251" s="48"/>
      <x:c r="AK251" s="48"/>
      <x:c r="AL251" s="48"/>
      <x:c r="AM251" s="52"/>
    </x:row>
    <x:row r="252">
      <x:c r="A252" s="47"/>
      <x:c r="B252" s="48"/>
      <x:c r="C252" s="49"/>
      <x:c r="D252" s="48"/>
      <x:c r="E252" s="48"/>
      <x:c r="F252" s="48"/>
      <x:c r="G252" s="48"/>
      <x:c r="H252" s="50"/>
      <x:c r="I252" s="50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51"/>
      <x:c r="X252" s="48"/>
      <x:c r="Y252" s="48"/>
      <x:c r="Z252" s="48"/>
      <x:c r="AA252" s="48"/>
      <x:c r="AB252" s="48"/>
      <x:c r="AC252" s="48"/>
      <x:c r="AD252" s="48"/>
      <x:c r="AE252" s="48"/>
      <x:c r="AF252" s="48"/>
      <x:c r="AG252" s="48"/>
      <x:c r="AH252" s="48"/>
      <x:c r="AI252" s="48"/>
      <x:c r="AJ252" s="48"/>
      <x:c r="AK252" s="48"/>
      <x:c r="AL252" s="48"/>
      <x:c r="AM252" s="52"/>
    </x:row>
    <x:row r="253">
      <x:c r="A253" s="47"/>
      <x:c r="B253" s="48"/>
      <x:c r="C253" s="49"/>
      <x:c r="D253" s="48"/>
      <x:c r="E253" s="48"/>
      <x:c r="F253" s="48"/>
      <x:c r="G253" s="48"/>
      <x:c r="H253" s="50"/>
      <x:c r="I253" s="50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51"/>
      <x:c r="X253" s="48"/>
      <x:c r="Y253" s="48"/>
      <x:c r="Z253" s="48"/>
      <x:c r="AA253" s="48"/>
      <x:c r="AB253" s="48"/>
      <x:c r="AC253" s="48"/>
      <x:c r="AD253" s="48"/>
      <x:c r="AE253" s="48"/>
      <x:c r="AF253" s="48"/>
      <x:c r="AG253" s="48"/>
      <x:c r="AH253" s="48"/>
      <x:c r="AI253" s="48"/>
      <x:c r="AJ253" s="48"/>
      <x:c r="AK253" s="48"/>
      <x:c r="AL253" s="48"/>
      <x:c r="AM253" s="52"/>
    </x:row>
    <x:row r="254">
      <x:c r="A254" s="47"/>
      <x:c r="B254" s="48"/>
      <x:c r="C254" s="49"/>
      <x:c r="D254" s="48"/>
      <x:c r="E254" s="48"/>
      <x:c r="F254" s="48"/>
      <x:c r="G254" s="48"/>
      <x:c r="H254" s="50"/>
      <x:c r="I254" s="50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51"/>
      <x:c r="X254" s="48"/>
      <x:c r="Y254" s="48"/>
      <x:c r="Z254" s="48"/>
      <x:c r="AA254" s="48"/>
      <x:c r="AB254" s="48"/>
      <x:c r="AC254" s="48"/>
      <x:c r="AD254" s="48"/>
      <x:c r="AE254" s="48"/>
      <x:c r="AF254" s="48"/>
      <x:c r="AG254" s="48"/>
      <x:c r="AH254" s="48"/>
      <x:c r="AI254" s="48"/>
      <x:c r="AJ254" s="48"/>
      <x:c r="AK254" s="48"/>
      <x:c r="AL254" s="48"/>
      <x:c r="AM254" s="52"/>
    </x:row>
    <x:row r="255">
      <x:c r="A255" s="47"/>
      <x:c r="B255" s="48"/>
      <x:c r="C255" s="49"/>
      <x:c r="D255" s="48"/>
      <x:c r="E255" s="48"/>
      <x:c r="F255" s="48"/>
      <x:c r="G255" s="48"/>
      <x:c r="H255" s="50"/>
      <x:c r="I255" s="50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51"/>
      <x:c r="X255" s="48"/>
      <x:c r="Y255" s="48"/>
      <x:c r="Z255" s="48"/>
      <x:c r="AA255" s="48"/>
      <x:c r="AB255" s="48"/>
      <x:c r="AC255" s="48"/>
      <x:c r="AD255" s="48"/>
      <x:c r="AE255" s="48"/>
      <x:c r="AF255" s="48"/>
      <x:c r="AG255" s="48"/>
      <x:c r="AH255" s="48"/>
      <x:c r="AI255" s="48"/>
      <x:c r="AJ255" s="48"/>
      <x:c r="AK255" s="48"/>
      <x:c r="AL255" s="48"/>
      <x:c r="AM255" s="52"/>
    </x:row>
    <x:row r="256">
      <x:c r="A256" s="47"/>
      <x:c r="B256" s="48"/>
      <x:c r="C256" s="49"/>
      <x:c r="D256" s="48"/>
      <x:c r="E256" s="48"/>
      <x:c r="F256" s="48"/>
      <x:c r="G256" s="48"/>
      <x:c r="H256" s="50"/>
      <x:c r="I256" s="50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51"/>
      <x:c r="X256" s="48"/>
      <x:c r="Y256" s="48"/>
      <x:c r="Z256" s="48"/>
      <x:c r="AA256" s="48"/>
      <x:c r="AB256" s="48"/>
      <x:c r="AC256" s="48"/>
      <x:c r="AD256" s="48"/>
      <x:c r="AE256" s="48"/>
      <x:c r="AF256" s="48"/>
      <x:c r="AG256" s="48"/>
      <x:c r="AH256" s="48"/>
      <x:c r="AI256" s="48"/>
      <x:c r="AJ256" s="48"/>
      <x:c r="AK256" s="48"/>
      <x:c r="AL256" s="48"/>
      <x:c r="AM256" s="52"/>
    </x:row>
    <x:row r="257">
      <x:c r="A257" s="47"/>
      <x:c r="B257" s="48"/>
      <x:c r="C257" s="49"/>
      <x:c r="D257" s="48"/>
      <x:c r="E257" s="48"/>
      <x:c r="F257" s="48"/>
      <x:c r="G257" s="48"/>
      <x:c r="H257" s="50"/>
      <x:c r="I257" s="50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51"/>
      <x:c r="X257" s="48"/>
      <x:c r="Y257" s="48"/>
      <x:c r="Z257" s="48"/>
      <x:c r="AA257" s="48"/>
      <x:c r="AB257" s="48"/>
      <x:c r="AC257" s="48"/>
      <x:c r="AD257" s="48"/>
      <x:c r="AE257" s="48"/>
      <x:c r="AF257" s="48"/>
      <x:c r="AG257" s="48"/>
      <x:c r="AH257" s="48"/>
      <x:c r="AI257" s="48"/>
      <x:c r="AJ257" s="48"/>
      <x:c r="AK257" s="48"/>
      <x:c r="AL257" s="48"/>
      <x:c r="AM257" s="52"/>
    </x:row>
    <x:row r="258">
      <x:c r="A258" s="47"/>
      <x:c r="B258" s="48"/>
      <x:c r="C258" s="49"/>
      <x:c r="D258" s="48"/>
      <x:c r="E258" s="48"/>
      <x:c r="F258" s="48"/>
      <x:c r="G258" s="48"/>
      <x:c r="H258" s="50"/>
      <x:c r="I258" s="50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51"/>
      <x:c r="X258" s="48"/>
      <x:c r="Y258" s="48"/>
      <x:c r="Z258" s="48"/>
      <x:c r="AA258" s="48"/>
      <x:c r="AB258" s="48"/>
      <x:c r="AC258" s="48"/>
      <x:c r="AD258" s="48"/>
      <x:c r="AE258" s="48"/>
      <x:c r="AF258" s="48"/>
      <x:c r="AG258" s="48"/>
      <x:c r="AH258" s="48"/>
      <x:c r="AI258" s="48"/>
      <x:c r="AJ258" s="48"/>
      <x:c r="AK258" s="48"/>
      <x:c r="AL258" s="48"/>
      <x:c r="AM258" s="52"/>
    </x:row>
    <x:row r="259">
      <x:c r="A259" s="47"/>
      <x:c r="B259" s="48"/>
      <x:c r="C259" s="49"/>
      <x:c r="D259" s="48"/>
      <x:c r="E259" s="48"/>
      <x:c r="F259" s="48"/>
      <x:c r="G259" s="48"/>
      <x:c r="H259" s="50"/>
      <x:c r="I259" s="50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51"/>
      <x:c r="X259" s="48"/>
      <x:c r="Y259" s="48"/>
      <x:c r="Z259" s="48"/>
      <x:c r="AA259" s="48"/>
      <x:c r="AB259" s="48"/>
      <x:c r="AC259" s="48"/>
      <x:c r="AD259" s="48"/>
      <x:c r="AE259" s="48"/>
      <x:c r="AF259" s="48"/>
      <x:c r="AG259" s="48"/>
      <x:c r="AH259" s="48"/>
      <x:c r="AI259" s="48"/>
      <x:c r="AJ259" s="48"/>
      <x:c r="AK259" s="48"/>
      <x:c r="AL259" s="48"/>
      <x:c r="AM259" s="52"/>
    </x:row>
    <x:row r="260">
      <x:c r="A260" s="47"/>
      <x:c r="B260" s="48"/>
      <x:c r="C260" s="49"/>
      <x:c r="D260" s="48"/>
      <x:c r="E260" s="48"/>
      <x:c r="F260" s="48"/>
      <x:c r="G260" s="48"/>
      <x:c r="H260" s="50"/>
      <x:c r="I260" s="50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51"/>
      <x:c r="X260" s="48"/>
      <x:c r="Y260" s="48"/>
      <x:c r="Z260" s="48"/>
      <x:c r="AA260" s="48"/>
      <x:c r="AB260" s="48"/>
      <x:c r="AC260" s="48"/>
      <x:c r="AD260" s="48"/>
      <x:c r="AE260" s="48"/>
      <x:c r="AF260" s="48"/>
      <x:c r="AG260" s="48"/>
      <x:c r="AH260" s="48"/>
      <x:c r="AI260" s="48"/>
      <x:c r="AJ260" s="48"/>
      <x:c r="AK260" s="48"/>
      <x:c r="AL260" s="48"/>
      <x:c r="AM260" s="52"/>
    </x:row>
    <x:row r="261">
      <x:c r="A261" s="47"/>
      <x:c r="B261" s="48"/>
      <x:c r="C261" s="49"/>
      <x:c r="D261" s="48"/>
      <x:c r="E261" s="48"/>
      <x:c r="F261" s="48"/>
      <x:c r="G261" s="48"/>
      <x:c r="H261" s="50"/>
      <x:c r="I261" s="50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51"/>
      <x:c r="X261" s="48"/>
      <x:c r="Y261" s="48"/>
      <x:c r="Z261" s="48"/>
      <x:c r="AA261" s="48"/>
      <x:c r="AB261" s="48"/>
      <x:c r="AC261" s="48"/>
      <x:c r="AD261" s="48"/>
      <x:c r="AE261" s="48"/>
      <x:c r="AF261" s="48"/>
      <x:c r="AG261" s="48"/>
      <x:c r="AH261" s="48"/>
      <x:c r="AI261" s="48"/>
      <x:c r="AJ261" s="48"/>
      <x:c r="AK261" s="48"/>
      <x:c r="AL261" s="48"/>
      <x:c r="AM261" s="52"/>
    </x:row>
    <x:row r="262">
      <x:c r="A262" s="47"/>
      <x:c r="B262" s="48"/>
      <x:c r="C262" s="49"/>
      <x:c r="D262" s="48"/>
      <x:c r="E262" s="48"/>
      <x:c r="F262" s="48"/>
      <x:c r="G262" s="48"/>
      <x:c r="H262" s="50"/>
      <x:c r="I262" s="50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51"/>
      <x:c r="X262" s="48"/>
      <x:c r="Y262" s="48"/>
      <x:c r="Z262" s="48"/>
      <x:c r="AA262" s="48"/>
      <x:c r="AB262" s="48"/>
      <x:c r="AC262" s="48"/>
      <x:c r="AD262" s="48"/>
      <x:c r="AE262" s="48"/>
      <x:c r="AF262" s="48"/>
      <x:c r="AG262" s="48"/>
      <x:c r="AH262" s="48"/>
      <x:c r="AI262" s="48"/>
      <x:c r="AJ262" s="48"/>
      <x:c r="AK262" s="48"/>
      <x:c r="AL262" s="48"/>
      <x:c r="AM262" s="52"/>
    </x:row>
    <x:row r="263">
      <x:c r="A263" s="47"/>
      <x:c r="B263" s="48"/>
      <x:c r="C263" s="49"/>
      <x:c r="D263" s="48"/>
      <x:c r="E263" s="48"/>
      <x:c r="F263" s="48"/>
      <x:c r="G263" s="48"/>
      <x:c r="H263" s="50"/>
      <x:c r="I263" s="50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51"/>
      <x:c r="X263" s="48"/>
      <x:c r="Y263" s="48"/>
      <x:c r="Z263" s="48"/>
      <x:c r="AA263" s="48"/>
      <x:c r="AB263" s="48"/>
      <x:c r="AC263" s="48"/>
      <x:c r="AD263" s="48"/>
      <x:c r="AE263" s="48"/>
      <x:c r="AF263" s="48"/>
      <x:c r="AG263" s="48"/>
      <x:c r="AH263" s="48"/>
      <x:c r="AI263" s="48"/>
      <x:c r="AJ263" s="48"/>
      <x:c r="AK263" s="48"/>
      <x:c r="AL263" s="48"/>
      <x:c r="AM263" s="52"/>
    </x:row>
    <x:row r="264">
      <x:c r="A264" s="47"/>
      <x:c r="B264" s="48"/>
      <x:c r="C264" s="49"/>
      <x:c r="D264" s="48"/>
      <x:c r="E264" s="48"/>
      <x:c r="F264" s="48"/>
      <x:c r="G264" s="48"/>
      <x:c r="H264" s="50"/>
      <x:c r="I264" s="50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51"/>
      <x:c r="X264" s="48"/>
      <x:c r="Y264" s="48"/>
      <x:c r="Z264" s="48"/>
      <x:c r="AA264" s="48"/>
      <x:c r="AB264" s="48"/>
      <x:c r="AC264" s="48"/>
      <x:c r="AD264" s="48"/>
      <x:c r="AE264" s="48"/>
      <x:c r="AF264" s="48"/>
      <x:c r="AG264" s="48"/>
      <x:c r="AH264" s="48"/>
      <x:c r="AI264" s="48"/>
      <x:c r="AJ264" s="48"/>
      <x:c r="AK264" s="48"/>
      <x:c r="AL264" s="48"/>
      <x:c r="AM264" s="52"/>
    </x:row>
    <x:row r="265">
      <x:c r="A265" s="47"/>
      <x:c r="B265" s="48"/>
      <x:c r="C265" s="49"/>
      <x:c r="D265" s="48"/>
      <x:c r="E265" s="48"/>
      <x:c r="F265" s="48"/>
      <x:c r="G265" s="48"/>
      <x:c r="H265" s="50"/>
      <x:c r="I265" s="50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51"/>
      <x:c r="X265" s="48"/>
      <x:c r="Y265" s="48"/>
      <x:c r="Z265" s="48"/>
      <x:c r="AA265" s="48"/>
      <x:c r="AB265" s="48"/>
      <x:c r="AC265" s="48"/>
      <x:c r="AD265" s="48"/>
      <x:c r="AE265" s="48"/>
      <x:c r="AF265" s="48"/>
      <x:c r="AG265" s="48"/>
      <x:c r="AH265" s="48"/>
      <x:c r="AI265" s="48"/>
      <x:c r="AJ265" s="48"/>
      <x:c r="AK265" s="48"/>
      <x:c r="AL265" s="48"/>
      <x:c r="AM265" s="52"/>
    </x:row>
    <x:row r="266">
      <x:c r="A266" s="47"/>
      <x:c r="B266" s="48"/>
      <x:c r="C266" s="49"/>
      <x:c r="D266" s="48"/>
      <x:c r="E266" s="48"/>
      <x:c r="F266" s="48"/>
      <x:c r="G266" s="48"/>
      <x:c r="H266" s="50"/>
      <x:c r="I266" s="50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51"/>
      <x:c r="X266" s="48"/>
      <x:c r="Y266" s="48"/>
      <x:c r="Z266" s="48"/>
      <x:c r="AA266" s="48"/>
      <x:c r="AB266" s="48"/>
      <x:c r="AC266" s="48"/>
      <x:c r="AD266" s="48"/>
      <x:c r="AE266" s="48"/>
      <x:c r="AF266" s="48"/>
      <x:c r="AG266" s="48"/>
      <x:c r="AH266" s="48"/>
      <x:c r="AI266" s="48"/>
      <x:c r="AJ266" s="48"/>
      <x:c r="AK266" s="48"/>
      <x:c r="AL266" s="48"/>
      <x:c r="AM266" s="52"/>
    </x:row>
    <x:row r="267">
      <x:c r="A267" s="47"/>
      <x:c r="B267" s="48"/>
      <x:c r="C267" s="49"/>
      <x:c r="D267" s="48"/>
      <x:c r="E267" s="48"/>
      <x:c r="F267" s="48"/>
      <x:c r="G267" s="48"/>
      <x:c r="H267" s="50"/>
      <x:c r="I267" s="50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51"/>
      <x:c r="X267" s="48"/>
      <x:c r="Y267" s="48"/>
      <x:c r="Z267" s="48"/>
      <x:c r="AA267" s="48"/>
      <x:c r="AB267" s="48"/>
      <x:c r="AC267" s="48"/>
      <x:c r="AD267" s="48"/>
      <x:c r="AE267" s="48"/>
      <x:c r="AF267" s="48"/>
      <x:c r="AG267" s="48"/>
      <x:c r="AH267" s="48"/>
      <x:c r="AI267" s="48"/>
      <x:c r="AJ267" s="48"/>
      <x:c r="AK267" s="48"/>
      <x:c r="AL267" s="48"/>
      <x:c r="AM267" s="52"/>
    </x:row>
    <x:row r="268">
      <x:c r="A268" s="47"/>
      <x:c r="B268" s="48"/>
      <x:c r="C268" s="49"/>
      <x:c r="D268" s="48"/>
      <x:c r="E268" s="48"/>
      <x:c r="F268" s="48"/>
      <x:c r="G268" s="48"/>
      <x:c r="H268" s="50"/>
      <x:c r="I268" s="50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51"/>
      <x:c r="X268" s="48"/>
      <x:c r="Y268" s="48"/>
      <x:c r="Z268" s="48"/>
      <x:c r="AA268" s="48"/>
      <x:c r="AB268" s="48"/>
      <x:c r="AC268" s="48"/>
      <x:c r="AD268" s="48"/>
      <x:c r="AE268" s="48"/>
      <x:c r="AF268" s="48"/>
      <x:c r="AG268" s="48"/>
      <x:c r="AH268" s="48"/>
      <x:c r="AI268" s="48"/>
      <x:c r="AJ268" s="48"/>
      <x:c r="AK268" s="48"/>
      <x:c r="AL268" s="48"/>
      <x:c r="AM268" s="52"/>
    </x:row>
    <x:row r="269">
      <x:c r="A269" s="47"/>
      <x:c r="B269" s="48"/>
      <x:c r="C269" s="49"/>
      <x:c r="D269" s="48"/>
      <x:c r="E269" s="48"/>
      <x:c r="F269" s="48"/>
      <x:c r="G269" s="48"/>
      <x:c r="H269" s="50"/>
      <x:c r="I269" s="50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51"/>
      <x:c r="X269" s="48"/>
      <x:c r="Y269" s="48"/>
      <x:c r="Z269" s="48"/>
      <x:c r="AA269" s="48"/>
      <x:c r="AB269" s="48"/>
      <x:c r="AC269" s="48"/>
      <x:c r="AD269" s="48"/>
      <x:c r="AE269" s="48"/>
      <x:c r="AF269" s="48"/>
      <x:c r="AG269" s="48"/>
      <x:c r="AH269" s="48"/>
      <x:c r="AI269" s="48"/>
      <x:c r="AJ269" s="48"/>
      <x:c r="AK269" s="48"/>
      <x:c r="AL269" s="48"/>
      <x:c r="AM269" s="52"/>
    </x:row>
    <x:row r="270">
      <x:c r="A270" s="47"/>
      <x:c r="B270" s="48"/>
      <x:c r="C270" s="49"/>
      <x:c r="D270" s="48"/>
      <x:c r="E270" s="48"/>
      <x:c r="F270" s="48"/>
      <x:c r="G270" s="48"/>
      <x:c r="H270" s="50"/>
      <x:c r="I270" s="50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51"/>
      <x:c r="X270" s="48"/>
      <x:c r="Y270" s="48"/>
      <x:c r="Z270" s="48"/>
      <x:c r="AA270" s="48"/>
      <x:c r="AB270" s="48"/>
      <x:c r="AC270" s="48"/>
      <x:c r="AD270" s="48"/>
      <x:c r="AE270" s="48"/>
      <x:c r="AF270" s="48"/>
      <x:c r="AG270" s="48"/>
      <x:c r="AH270" s="48"/>
      <x:c r="AI270" s="48"/>
      <x:c r="AJ270" s="48"/>
      <x:c r="AK270" s="48"/>
      <x:c r="AL270" s="48"/>
      <x:c r="AM270" s="52"/>
    </x:row>
    <x:row r="271">
      <x:c r="A271" s="47"/>
      <x:c r="B271" s="48"/>
      <x:c r="C271" s="49"/>
      <x:c r="D271" s="48"/>
      <x:c r="E271" s="48"/>
      <x:c r="F271" s="48"/>
      <x:c r="G271" s="48"/>
      <x:c r="H271" s="50"/>
      <x:c r="I271" s="50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51"/>
      <x:c r="X271" s="48"/>
      <x:c r="Y271" s="48"/>
      <x:c r="Z271" s="48"/>
      <x:c r="AA271" s="48"/>
      <x:c r="AB271" s="48"/>
      <x:c r="AC271" s="48"/>
      <x:c r="AD271" s="48"/>
      <x:c r="AE271" s="48"/>
      <x:c r="AF271" s="48"/>
      <x:c r="AG271" s="48"/>
      <x:c r="AH271" s="48"/>
      <x:c r="AI271" s="48"/>
      <x:c r="AJ271" s="48"/>
      <x:c r="AK271" s="48"/>
      <x:c r="AL271" s="48"/>
      <x:c r="AM271" s="52"/>
    </x:row>
    <x:row r="272">
      <x:c r="A272" s="47"/>
      <x:c r="B272" s="48"/>
      <x:c r="C272" s="49"/>
      <x:c r="D272" s="48"/>
      <x:c r="E272" s="48"/>
      <x:c r="F272" s="48"/>
      <x:c r="G272" s="48"/>
      <x:c r="H272" s="50"/>
      <x:c r="I272" s="50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51"/>
      <x:c r="X272" s="48"/>
      <x:c r="Y272" s="48"/>
      <x:c r="Z272" s="48"/>
      <x:c r="AA272" s="48"/>
      <x:c r="AB272" s="48"/>
      <x:c r="AC272" s="48"/>
      <x:c r="AD272" s="48"/>
      <x:c r="AE272" s="48"/>
      <x:c r="AF272" s="48"/>
      <x:c r="AG272" s="48"/>
      <x:c r="AH272" s="48"/>
      <x:c r="AI272" s="48"/>
      <x:c r="AJ272" s="48"/>
      <x:c r="AK272" s="48"/>
      <x:c r="AL272" s="48"/>
      <x:c r="AM272" s="52"/>
    </x:row>
    <x:row r="273">
      <x:c r="A273" s="47"/>
      <x:c r="B273" s="48"/>
      <x:c r="C273" s="49"/>
      <x:c r="D273" s="48"/>
      <x:c r="E273" s="48"/>
      <x:c r="F273" s="48"/>
      <x:c r="G273" s="48"/>
      <x:c r="H273" s="50"/>
      <x:c r="I273" s="50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51"/>
      <x:c r="X273" s="48"/>
      <x:c r="Y273" s="48"/>
      <x:c r="Z273" s="48"/>
      <x:c r="AA273" s="48"/>
      <x:c r="AB273" s="48"/>
      <x:c r="AC273" s="48"/>
      <x:c r="AD273" s="48"/>
      <x:c r="AE273" s="48"/>
      <x:c r="AF273" s="48"/>
      <x:c r="AG273" s="48"/>
      <x:c r="AH273" s="48"/>
      <x:c r="AI273" s="48"/>
      <x:c r="AJ273" s="48"/>
      <x:c r="AK273" s="48"/>
      <x:c r="AL273" s="48"/>
      <x:c r="AM273" s="52"/>
    </x:row>
    <x:row r="274">
      <x:c r="A274" s="47"/>
      <x:c r="B274" s="48"/>
      <x:c r="C274" s="49"/>
      <x:c r="D274" s="48"/>
      <x:c r="E274" s="48"/>
      <x:c r="F274" s="48"/>
      <x:c r="G274" s="48"/>
      <x:c r="H274" s="50"/>
      <x:c r="I274" s="50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51"/>
      <x:c r="X274" s="48"/>
      <x:c r="Y274" s="48"/>
      <x:c r="Z274" s="48"/>
      <x:c r="AA274" s="48"/>
      <x:c r="AB274" s="48"/>
      <x:c r="AC274" s="48"/>
      <x:c r="AD274" s="48"/>
      <x:c r="AE274" s="48"/>
      <x:c r="AF274" s="48"/>
      <x:c r="AG274" s="48"/>
      <x:c r="AH274" s="48"/>
      <x:c r="AI274" s="48"/>
      <x:c r="AJ274" s="48"/>
      <x:c r="AK274" s="48"/>
      <x:c r="AL274" s="48"/>
      <x:c r="AM274" s="52"/>
    </x:row>
    <x:row r="275">
      <x:c r="A275" s="47"/>
      <x:c r="B275" s="48"/>
      <x:c r="C275" s="49"/>
      <x:c r="D275" s="48"/>
      <x:c r="E275" s="48"/>
      <x:c r="F275" s="48"/>
      <x:c r="G275" s="48"/>
      <x:c r="H275" s="50"/>
      <x:c r="I275" s="50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51"/>
      <x:c r="X275" s="48"/>
      <x:c r="Y275" s="48"/>
      <x:c r="Z275" s="48"/>
      <x:c r="AA275" s="48"/>
      <x:c r="AB275" s="48"/>
      <x:c r="AC275" s="48"/>
      <x:c r="AD275" s="48"/>
      <x:c r="AE275" s="48"/>
      <x:c r="AF275" s="48"/>
      <x:c r="AG275" s="48"/>
      <x:c r="AH275" s="48"/>
      <x:c r="AI275" s="48"/>
      <x:c r="AJ275" s="48"/>
      <x:c r="AK275" s="48"/>
      <x:c r="AL275" s="48"/>
      <x:c r="AM275" s="52"/>
    </x:row>
    <x:row r="276">
      <x:c r="A276" s="47"/>
      <x:c r="B276" s="48"/>
      <x:c r="C276" s="49"/>
      <x:c r="D276" s="48"/>
      <x:c r="E276" s="48"/>
      <x:c r="F276" s="48"/>
      <x:c r="G276" s="48"/>
      <x:c r="H276" s="50"/>
      <x:c r="I276" s="50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51"/>
      <x:c r="X276" s="48"/>
      <x:c r="Y276" s="48"/>
      <x:c r="Z276" s="48"/>
      <x:c r="AA276" s="48"/>
      <x:c r="AB276" s="48"/>
      <x:c r="AC276" s="48"/>
      <x:c r="AD276" s="48"/>
      <x:c r="AE276" s="48"/>
      <x:c r="AF276" s="48"/>
      <x:c r="AG276" s="48"/>
      <x:c r="AH276" s="48"/>
      <x:c r="AI276" s="48"/>
      <x:c r="AJ276" s="48"/>
      <x:c r="AK276" s="48"/>
      <x:c r="AL276" s="48"/>
      <x:c r="AM276" s="52"/>
    </x:row>
    <x:row r="277">
      <x:c r="A277" s="47"/>
      <x:c r="B277" s="48"/>
      <x:c r="C277" s="49"/>
      <x:c r="D277" s="48"/>
      <x:c r="E277" s="48"/>
      <x:c r="F277" s="48"/>
      <x:c r="G277" s="48"/>
      <x:c r="H277" s="50"/>
      <x:c r="I277" s="50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51"/>
      <x:c r="X277" s="48"/>
      <x:c r="Y277" s="48"/>
      <x:c r="Z277" s="48"/>
      <x:c r="AA277" s="48"/>
      <x:c r="AB277" s="48"/>
      <x:c r="AC277" s="48"/>
      <x:c r="AD277" s="48"/>
      <x:c r="AE277" s="48"/>
      <x:c r="AF277" s="48"/>
      <x:c r="AG277" s="48"/>
      <x:c r="AH277" s="48"/>
      <x:c r="AI277" s="48"/>
      <x:c r="AJ277" s="48"/>
      <x:c r="AK277" s="48"/>
      <x:c r="AL277" s="48"/>
      <x:c r="AM277" s="52"/>
    </x:row>
    <x:row r="278">
      <x:c r="A278" s="47"/>
      <x:c r="B278" s="48"/>
      <x:c r="C278" s="49"/>
      <x:c r="D278" s="48"/>
      <x:c r="E278" s="48"/>
      <x:c r="F278" s="48"/>
      <x:c r="G278" s="48"/>
      <x:c r="H278" s="50"/>
      <x:c r="I278" s="50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51"/>
      <x:c r="X278" s="48"/>
      <x:c r="Y278" s="48"/>
      <x:c r="Z278" s="48"/>
      <x:c r="AA278" s="48"/>
      <x:c r="AB278" s="48"/>
      <x:c r="AC278" s="48"/>
      <x:c r="AD278" s="48"/>
      <x:c r="AE278" s="48"/>
      <x:c r="AF278" s="48"/>
      <x:c r="AG278" s="48"/>
      <x:c r="AH278" s="48"/>
      <x:c r="AI278" s="48"/>
      <x:c r="AJ278" s="48"/>
      <x:c r="AK278" s="48"/>
      <x:c r="AL278" s="48"/>
      <x:c r="AM278" s="52"/>
    </x:row>
    <x:row r="279">
      <x:c r="A279" s="47"/>
      <x:c r="B279" s="48"/>
      <x:c r="C279" s="49"/>
      <x:c r="D279" s="48"/>
      <x:c r="E279" s="48"/>
      <x:c r="F279" s="48"/>
      <x:c r="G279" s="48"/>
      <x:c r="H279" s="50"/>
      <x:c r="I279" s="50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51"/>
      <x:c r="X279" s="48"/>
      <x:c r="Y279" s="48"/>
      <x:c r="Z279" s="48"/>
      <x:c r="AA279" s="48"/>
      <x:c r="AB279" s="48"/>
      <x:c r="AC279" s="48"/>
      <x:c r="AD279" s="48"/>
      <x:c r="AE279" s="48"/>
      <x:c r="AF279" s="48"/>
      <x:c r="AG279" s="48"/>
      <x:c r="AH279" s="48"/>
      <x:c r="AI279" s="48"/>
      <x:c r="AJ279" s="48"/>
      <x:c r="AK279" s="48"/>
      <x:c r="AL279" s="48"/>
      <x:c r="AM279" s="52"/>
    </x:row>
    <x:row r="280">
      <x:c r="A280" s="47"/>
      <x:c r="B280" s="48"/>
      <x:c r="C280" s="49"/>
      <x:c r="D280" s="48"/>
      <x:c r="E280" s="48"/>
      <x:c r="F280" s="48"/>
      <x:c r="G280" s="48"/>
      <x:c r="H280" s="50"/>
      <x:c r="I280" s="50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51"/>
      <x:c r="X280" s="48"/>
      <x:c r="Y280" s="48"/>
      <x:c r="Z280" s="48"/>
      <x:c r="AA280" s="48"/>
      <x:c r="AB280" s="48"/>
      <x:c r="AC280" s="48"/>
      <x:c r="AD280" s="48"/>
      <x:c r="AE280" s="48"/>
      <x:c r="AF280" s="48"/>
      <x:c r="AG280" s="48"/>
      <x:c r="AH280" s="48"/>
      <x:c r="AI280" s="48"/>
      <x:c r="AJ280" s="48"/>
      <x:c r="AK280" s="48"/>
      <x:c r="AL280" s="48"/>
      <x:c r="AM280" s="52"/>
    </x:row>
    <x:row r="281">
      <x:c r="A281" s="47"/>
      <x:c r="B281" s="48"/>
      <x:c r="C281" s="49"/>
      <x:c r="D281" s="48"/>
      <x:c r="E281" s="48"/>
      <x:c r="F281" s="48"/>
      <x:c r="G281" s="48"/>
      <x:c r="H281" s="50"/>
      <x:c r="I281" s="50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51"/>
      <x:c r="X281" s="48"/>
      <x:c r="Y281" s="48"/>
      <x:c r="Z281" s="48"/>
      <x:c r="AA281" s="48"/>
      <x:c r="AB281" s="48"/>
      <x:c r="AC281" s="48"/>
      <x:c r="AD281" s="48"/>
      <x:c r="AE281" s="48"/>
      <x:c r="AF281" s="48"/>
      <x:c r="AG281" s="48"/>
      <x:c r="AH281" s="48"/>
      <x:c r="AI281" s="48"/>
      <x:c r="AJ281" s="48"/>
      <x:c r="AK281" s="48"/>
      <x:c r="AL281" s="48"/>
      <x:c r="AM281" s="52"/>
    </x:row>
    <x:row r="282">
      <x:c r="A282" s="47"/>
      <x:c r="B282" s="48"/>
      <x:c r="C282" s="49"/>
      <x:c r="D282" s="48"/>
      <x:c r="E282" s="48"/>
      <x:c r="F282" s="48"/>
      <x:c r="G282" s="48"/>
      <x:c r="H282" s="50"/>
      <x:c r="I282" s="50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51"/>
      <x:c r="X282" s="48"/>
      <x:c r="Y282" s="48"/>
      <x:c r="Z282" s="48"/>
      <x:c r="AA282" s="48"/>
      <x:c r="AB282" s="48"/>
      <x:c r="AC282" s="48"/>
      <x:c r="AD282" s="48"/>
      <x:c r="AE282" s="48"/>
      <x:c r="AF282" s="48"/>
      <x:c r="AG282" s="48"/>
      <x:c r="AH282" s="48"/>
      <x:c r="AI282" s="48"/>
      <x:c r="AJ282" s="48"/>
      <x:c r="AK282" s="48"/>
      <x:c r="AL282" s="48"/>
      <x:c r="AM282" s="52"/>
    </x:row>
    <x:row r="283">
      <x:c r="A283" s="47"/>
      <x:c r="B283" s="48"/>
      <x:c r="C283" s="49"/>
      <x:c r="D283" s="48"/>
      <x:c r="E283" s="48"/>
      <x:c r="F283" s="48"/>
      <x:c r="G283" s="48"/>
      <x:c r="H283" s="50"/>
      <x:c r="I283" s="50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51"/>
      <x:c r="X283" s="48"/>
      <x:c r="Y283" s="48"/>
      <x:c r="Z283" s="48"/>
      <x:c r="AA283" s="48"/>
      <x:c r="AB283" s="48"/>
      <x:c r="AC283" s="48"/>
      <x:c r="AD283" s="48"/>
      <x:c r="AE283" s="48"/>
      <x:c r="AF283" s="48"/>
      <x:c r="AG283" s="48"/>
      <x:c r="AH283" s="48"/>
      <x:c r="AI283" s="48"/>
      <x:c r="AJ283" s="48"/>
      <x:c r="AK283" s="48"/>
      <x:c r="AL283" s="48"/>
      <x:c r="AM283" s="52"/>
    </x:row>
    <x:row r="284">
      <x:c r="A284" s="47"/>
      <x:c r="B284" s="48"/>
      <x:c r="C284" s="49"/>
      <x:c r="D284" s="48"/>
      <x:c r="E284" s="48"/>
      <x:c r="F284" s="48"/>
      <x:c r="G284" s="48"/>
      <x:c r="H284" s="50"/>
      <x:c r="I284" s="50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51"/>
      <x:c r="X284" s="48"/>
      <x:c r="Y284" s="48"/>
      <x:c r="Z284" s="48"/>
      <x:c r="AA284" s="48"/>
      <x:c r="AB284" s="48"/>
      <x:c r="AC284" s="48"/>
      <x:c r="AD284" s="48"/>
      <x:c r="AE284" s="48"/>
      <x:c r="AF284" s="48"/>
      <x:c r="AG284" s="48"/>
      <x:c r="AH284" s="48"/>
      <x:c r="AI284" s="48"/>
      <x:c r="AJ284" s="48"/>
      <x:c r="AK284" s="48"/>
      <x:c r="AL284" s="48"/>
      <x:c r="AM284" s="52"/>
    </x:row>
    <x:row r="285">
      <x:c r="A285" s="47"/>
      <x:c r="B285" s="48"/>
      <x:c r="C285" s="49"/>
      <x:c r="D285" s="48"/>
      <x:c r="E285" s="48"/>
      <x:c r="F285" s="48"/>
      <x:c r="G285" s="48"/>
      <x:c r="H285" s="50"/>
      <x:c r="I285" s="50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51"/>
      <x:c r="X285" s="48"/>
      <x:c r="Y285" s="48"/>
      <x:c r="Z285" s="48"/>
      <x:c r="AA285" s="48"/>
      <x:c r="AB285" s="48"/>
      <x:c r="AC285" s="48"/>
      <x:c r="AD285" s="48"/>
      <x:c r="AE285" s="48"/>
      <x:c r="AF285" s="48"/>
      <x:c r="AG285" s="48"/>
      <x:c r="AH285" s="48"/>
      <x:c r="AI285" s="48"/>
      <x:c r="AJ285" s="48"/>
      <x:c r="AK285" s="48"/>
      <x:c r="AL285" s="48"/>
      <x:c r="AM285" s="52"/>
    </x:row>
    <x:row r="286">
      <x:c r="A286" s="47"/>
      <x:c r="B286" s="48"/>
      <x:c r="C286" s="49"/>
      <x:c r="D286" s="48"/>
      <x:c r="E286" s="48"/>
      <x:c r="F286" s="48"/>
      <x:c r="G286" s="48"/>
      <x:c r="H286" s="50"/>
      <x:c r="I286" s="50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51"/>
      <x:c r="X286" s="48"/>
      <x:c r="Y286" s="48"/>
      <x:c r="Z286" s="48"/>
      <x:c r="AA286" s="48"/>
      <x:c r="AB286" s="48"/>
      <x:c r="AC286" s="48"/>
      <x:c r="AD286" s="48"/>
      <x:c r="AE286" s="48"/>
      <x:c r="AF286" s="48"/>
      <x:c r="AG286" s="48"/>
      <x:c r="AH286" s="48"/>
      <x:c r="AI286" s="48"/>
      <x:c r="AJ286" s="48"/>
      <x:c r="AK286" s="48"/>
      <x:c r="AL286" s="48"/>
      <x:c r="AM286" s="52"/>
    </x:row>
    <x:row r="287">
      <x:c r="A287" s="47"/>
      <x:c r="B287" s="48"/>
      <x:c r="C287" s="49"/>
      <x:c r="D287" s="48"/>
      <x:c r="E287" s="48"/>
      <x:c r="F287" s="48"/>
      <x:c r="G287" s="48"/>
      <x:c r="H287" s="50"/>
      <x:c r="I287" s="50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51"/>
      <x:c r="X287" s="48"/>
      <x:c r="Y287" s="48"/>
      <x:c r="Z287" s="48"/>
      <x:c r="AA287" s="48"/>
      <x:c r="AB287" s="48"/>
      <x:c r="AC287" s="48"/>
      <x:c r="AD287" s="48"/>
      <x:c r="AE287" s="48"/>
      <x:c r="AF287" s="48"/>
      <x:c r="AG287" s="48"/>
      <x:c r="AH287" s="48"/>
      <x:c r="AI287" s="48"/>
      <x:c r="AJ287" s="48"/>
      <x:c r="AK287" s="48"/>
      <x:c r="AL287" s="48"/>
      <x:c r="AM287" s="52"/>
    </x:row>
    <x:row r="288">
      <x:c r="A288" s="47"/>
      <x:c r="B288" s="48"/>
      <x:c r="C288" s="49"/>
      <x:c r="D288" s="48"/>
      <x:c r="E288" s="48"/>
      <x:c r="F288" s="48"/>
      <x:c r="G288" s="48"/>
      <x:c r="H288" s="50"/>
      <x:c r="I288" s="50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51"/>
      <x:c r="X288" s="48"/>
      <x:c r="Y288" s="48"/>
      <x:c r="Z288" s="48"/>
      <x:c r="AA288" s="48"/>
      <x:c r="AB288" s="48"/>
      <x:c r="AC288" s="48"/>
      <x:c r="AD288" s="48"/>
      <x:c r="AE288" s="48"/>
      <x:c r="AF288" s="48"/>
      <x:c r="AG288" s="48"/>
      <x:c r="AH288" s="48"/>
      <x:c r="AI288" s="48"/>
      <x:c r="AJ288" s="48"/>
      <x:c r="AK288" s="48"/>
      <x:c r="AL288" s="48"/>
      <x:c r="AM288" s="52"/>
    </x:row>
    <x:row r="289">
      <x:c r="A289" s="47"/>
      <x:c r="B289" s="48"/>
      <x:c r="C289" s="49"/>
      <x:c r="D289" s="48"/>
      <x:c r="E289" s="48"/>
      <x:c r="F289" s="48"/>
      <x:c r="G289" s="48"/>
      <x:c r="H289" s="50"/>
      <x:c r="I289" s="50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51"/>
      <x:c r="X289" s="48"/>
      <x:c r="Y289" s="48"/>
      <x:c r="Z289" s="48"/>
      <x:c r="AA289" s="48"/>
      <x:c r="AB289" s="48"/>
      <x:c r="AC289" s="48"/>
      <x:c r="AD289" s="48"/>
      <x:c r="AE289" s="48"/>
      <x:c r="AF289" s="48"/>
      <x:c r="AG289" s="48"/>
      <x:c r="AH289" s="48"/>
      <x:c r="AI289" s="48"/>
      <x:c r="AJ289" s="48"/>
      <x:c r="AK289" s="48"/>
      <x:c r="AL289" s="48"/>
      <x:c r="AM289" s="52"/>
    </x:row>
    <x:row r="290">
      <x:c r="A290" s="47"/>
      <x:c r="B290" s="48"/>
      <x:c r="C290" s="49"/>
      <x:c r="D290" s="48"/>
      <x:c r="E290" s="48"/>
      <x:c r="F290" s="48"/>
      <x:c r="G290" s="48"/>
      <x:c r="H290" s="50"/>
      <x:c r="I290" s="50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51"/>
      <x:c r="X290" s="48"/>
      <x:c r="Y290" s="48"/>
      <x:c r="Z290" s="48"/>
      <x:c r="AA290" s="48"/>
      <x:c r="AB290" s="48"/>
      <x:c r="AC290" s="48"/>
      <x:c r="AD290" s="48"/>
      <x:c r="AE290" s="48"/>
      <x:c r="AF290" s="48"/>
      <x:c r="AG290" s="48"/>
      <x:c r="AH290" s="48"/>
      <x:c r="AI290" s="48"/>
      <x:c r="AJ290" s="48"/>
      <x:c r="AK290" s="48"/>
      <x:c r="AL290" s="48"/>
      <x:c r="AM290" s="52"/>
    </x:row>
    <x:row r="291">
      <x:c r="A291" s="47"/>
      <x:c r="B291" s="48"/>
      <x:c r="C291" s="49"/>
      <x:c r="D291" s="48"/>
      <x:c r="E291" s="48"/>
      <x:c r="F291" s="48"/>
      <x:c r="G291" s="48"/>
      <x:c r="H291" s="50"/>
      <x:c r="I291" s="50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51"/>
      <x:c r="X291" s="48"/>
      <x:c r="Y291" s="48"/>
      <x:c r="Z291" s="48"/>
      <x:c r="AA291" s="48"/>
      <x:c r="AB291" s="48"/>
      <x:c r="AC291" s="48"/>
      <x:c r="AD291" s="48"/>
      <x:c r="AE291" s="48"/>
      <x:c r="AF291" s="48"/>
      <x:c r="AG291" s="48"/>
      <x:c r="AH291" s="48"/>
      <x:c r="AI291" s="48"/>
      <x:c r="AJ291" s="48"/>
      <x:c r="AK291" s="48"/>
      <x:c r="AL291" s="48"/>
      <x:c r="AM291" s="52"/>
    </x:row>
    <x:row r="292">
      <x:c r="A292" s="47"/>
      <x:c r="B292" s="48"/>
      <x:c r="C292" s="49"/>
      <x:c r="D292" s="48"/>
      <x:c r="E292" s="48"/>
      <x:c r="F292" s="48"/>
      <x:c r="G292" s="48"/>
      <x:c r="H292" s="50"/>
      <x:c r="I292" s="50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51"/>
      <x:c r="X292" s="48"/>
      <x:c r="Y292" s="48"/>
      <x:c r="Z292" s="48"/>
      <x:c r="AA292" s="48"/>
      <x:c r="AB292" s="48"/>
      <x:c r="AC292" s="48"/>
      <x:c r="AD292" s="48"/>
      <x:c r="AE292" s="48"/>
      <x:c r="AF292" s="48"/>
      <x:c r="AG292" s="48"/>
      <x:c r="AH292" s="48"/>
      <x:c r="AI292" s="48"/>
      <x:c r="AJ292" s="48"/>
      <x:c r="AK292" s="48"/>
      <x:c r="AL292" s="48"/>
      <x:c r="AM292" s="52"/>
    </x:row>
    <x:row r="293">
      <x:c r="A293" s="47"/>
      <x:c r="B293" s="48"/>
      <x:c r="C293" s="49"/>
      <x:c r="D293" s="48"/>
      <x:c r="E293" s="48"/>
      <x:c r="F293" s="48"/>
      <x:c r="G293" s="48"/>
      <x:c r="H293" s="50"/>
      <x:c r="I293" s="50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51"/>
      <x:c r="X293" s="48"/>
      <x:c r="Y293" s="48"/>
      <x:c r="Z293" s="48"/>
      <x:c r="AA293" s="48"/>
      <x:c r="AB293" s="48"/>
      <x:c r="AC293" s="48"/>
      <x:c r="AD293" s="48"/>
      <x:c r="AE293" s="48"/>
      <x:c r="AF293" s="48"/>
      <x:c r="AG293" s="48"/>
      <x:c r="AH293" s="48"/>
      <x:c r="AI293" s="48"/>
      <x:c r="AJ293" s="48"/>
      <x:c r="AK293" s="48"/>
      <x:c r="AL293" s="48"/>
      <x:c r="AM293" s="52"/>
    </x:row>
    <x:row r="294">
      <x:c r="A294" s="47"/>
      <x:c r="B294" s="48"/>
      <x:c r="C294" s="49"/>
      <x:c r="D294" s="48"/>
      <x:c r="E294" s="48"/>
      <x:c r="F294" s="48"/>
      <x:c r="G294" s="48"/>
      <x:c r="H294" s="50"/>
      <x:c r="I294" s="50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51"/>
      <x:c r="X294" s="48"/>
      <x:c r="Y294" s="48"/>
      <x:c r="Z294" s="48"/>
      <x:c r="AA294" s="48"/>
      <x:c r="AB294" s="48"/>
      <x:c r="AC294" s="48"/>
      <x:c r="AD294" s="48"/>
      <x:c r="AE294" s="48"/>
      <x:c r="AF294" s="48"/>
      <x:c r="AG294" s="48"/>
      <x:c r="AH294" s="48"/>
      <x:c r="AI294" s="48"/>
      <x:c r="AJ294" s="48"/>
      <x:c r="AK294" s="48"/>
      <x:c r="AL294" s="48"/>
      <x:c r="AM294" s="52"/>
    </x:row>
    <x:row r="295">
      <x:c r="A295" s="47"/>
      <x:c r="B295" s="48"/>
      <x:c r="C295" s="49"/>
      <x:c r="D295" s="48"/>
      <x:c r="E295" s="48"/>
      <x:c r="F295" s="48"/>
      <x:c r="G295" s="48"/>
      <x:c r="H295" s="50"/>
      <x:c r="I295" s="50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51"/>
      <x:c r="X295" s="48"/>
      <x:c r="Y295" s="48"/>
      <x:c r="Z295" s="48"/>
      <x:c r="AA295" s="48"/>
      <x:c r="AB295" s="48"/>
      <x:c r="AC295" s="48"/>
      <x:c r="AD295" s="48"/>
      <x:c r="AE295" s="48"/>
      <x:c r="AF295" s="48"/>
      <x:c r="AG295" s="48"/>
      <x:c r="AH295" s="48"/>
      <x:c r="AI295" s="48"/>
      <x:c r="AJ295" s="48"/>
      <x:c r="AK295" s="48"/>
      <x:c r="AL295" s="48"/>
      <x:c r="AM295" s="52"/>
    </x:row>
    <x:row r="296">
      <x:c r="A296" s="47"/>
      <x:c r="B296" s="48"/>
      <x:c r="C296" s="49"/>
      <x:c r="D296" s="48"/>
      <x:c r="E296" s="48"/>
      <x:c r="F296" s="48"/>
      <x:c r="G296" s="48"/>
      <x:c r="H296" s="50"/>
      <x:c r="I296" s="50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51"/>
      <x:c r="X296" s="48"/>
      <x:c r="Y296" s="48"/>
      <x:c r="Z296" s="48"/>
      <x:c r="AA296" s="48"/>
      <x:c r="AB296" s="48"/>
      <x:c r="AC296" s="48"/>
      <x:c r="AD296" s="48"/>
      <x:c r="AE296" s="48"/>
      <x:c r="AF296" s="48"/>
      <x:c r="AG296" s="48"/>
      <x:c r="AH296" s="48"/>
      <x:c r="AI296" s="48"/>
      <x:c r="AJ296" s="48"/>
      <x:c r="AK296" s="48"/>
      <x:c r="AL296" s="48"/>
      <x:c r="AM296" s="52"/>
    </x:row>
    <x:row r="297">
      <x:c r="A297" s="47"/>
      <x:c r="B297" s="48"/>
      <x:c r="C297" s="49"/>
      <x:c r="D297" s="48"/>
      <x:c r="E297" s="48"/>
      <x:c r="F297" s="48"/>
      <x:c r="G297" s="48"/>
      <x:c r="H297" s="50"/>
      <x:c r="I297" s="50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51"/>
      <x:c r="X297" s="48"/>
      <x:c r="Y297" s="48"/>
      <x:c r="Z297" s="48"/>
      <x:c r="AA297" s="48"/>
      <x:c r="AB297" s="48"/>
      <x:c r="AC297" s="48"/>
      <x:c r="AD297" s="48"/>
      <x:c r="AE297" s="48"/>
      <x:c r="AF297" s="48"/>
      <x:c r="AG297" s="48"/>
      <x:c r="AH297" s="48"/>
      <x:c r="AI297" s="48"/>
      <x:c r="AJ297" s="48"/>
      <x:c r="AK297" s="48"/>
      <x:c r="AL297" s="48"/>
      <x:c r="AM297" s="52"/>
    </x:row>
    <x:row r="298">
      <x:c r="A298" s="47"/>
      <x:c r="B298" s="48"/>
      <x:c r="C298" s="49"/>
      <x:c r="D298" s="48"/>
      <x:c r="E298" s="48"/>
      <x:c r="F298" s="48"/>
      <x:c r="G298" s="48"/>
      <x:c r="H298" s="50"/>
      <x:c r="I298" s="50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51"/>
      <x:c r="X298" s="48"/>
      <x:c r="Y298" s="48"/>
      <x:c r="Z298" s="48"/>
      <x:c r="AA298" s="48"/>
      <x:c r="AB298" s="48"/>
      <x:c r="AC298" s="48"/>
      <x:c r="AD298" s="48"/>
      <x:c r="AE298" s="48"/>
      <x:c r="AF298" s="48"/>
      <x:c r="AG298" s="48"/>
      <x:c r="AH298" s="48"/>
      <x:c r="AI298" s="48"/>
      <x:c r="AJ298" s="48"/>
      <x:c r="AK298" s="48"/>
      <x:c r="AL298" s="48"/>
      <x:c r="AM298" s="52"/>
    </x:row>
    <x:row r="299">
      <x:c r="A299" s="47"/>
      <x:c r="B299" s="48"/>
      <x:c r="C299" s="49"/>
      <x:c r="D299" s="48"/>
      <x:c r="E299" s="48"/>
      <x:c r="F299" s="48"/>
      <x:c r="G299" s="48"/>
      <x:c r="H299" s="50"/>
      <x:c r="I299" s="50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51"/>
      <x:c r="X299" s="48"/>
      <x:c r="Y299" s="48"/>
      <x:c r="Z299" s="48"/>
      <x:c r="AA299" s="48"/>
      <x:c r="AB299" s="48"/>
      <x:c r="AC299" s="48"/>
      <x:c r="AD299" s="48"/>
      <x:c r="AE299" s="48"/>
      <x:c r="AF299" s="48"/>
      <x:c r="AG299" s="48"/>
      <x:c r="AH299" s="48"/>
      <x:c r="AI299" s="48"/>
      <x:c r="AJ299" s="48"/>
      <x:c r="AK299" s="48"/>
      <x:c r="AL299" s="48"/>
      <x:c r="AM299" s="52"/>
    </x:row>
    <x:row r="300">
      <x:c r="A300" s="47"/>
      <x:c r="B300" s="48"/>
      <x:c r="C300" s="49"/>
      <x:c r="D300" s="48"/>
      <x:c r="E300" s="48"/>
      <x:c r="F300" s="48"/>
      <x:c r="G300" s="48"/>
      <x:c r="H300" s="50"/>
      <x:c r="I300" s="50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51"/>
      <x:c r="X300" s="48"/>
      <x:c r="Y300" s="48"/>
      <x:c r="Z300" s="48"/>
      <x:c r="AA300" s="48"/>
      <x:c r="AB300" s="48"/>
      <x:c r="AC300" s="48"/>
      <x:c r="AD300" s="48"/>
      <x:c r="AE300" s="48"/>
      <x:c r="AF300" s="48"/>
      <x:c r="AG300" s="48"/>
      <x:c r="AH300" s="48"/>
      <x:c r="AI300" s="48"/>
      <x:c r="AJ300" s="48"/>
      <x:c r="AK300" s="48"/>
      <x:c r="AL300" s="48"/>
      <x:c r="AM300" s="52"/>
    </x:row>
    <x:row r="301">
      <x:c r="A301" s="47"/>
      <x:c r="B301" s="48"/>
      <x:c r="C301" s="49"/>
      <x:c r="D301" s="48"/>
      <x:c r="E301" s="48"/>
      <x:c r="F301" s="48"/>
      <x:c r="G301" s="48"/>
      <x:c r="H301" s="50"/>
      <x:c r="I301" s="50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51"/>
      <x:c r="X301" s="48"/>
      <x:c r="Y301" s="48"/>
      <x:c r="Z301" s="48"/>
      <x:c r="AA301" s="48"/>
      <x:c r="AB301" s="48"/>
      <x:c r="AC301" s="48"/>
      <x:c r="AD301" s="48"/>
      <x:c r="AE301" s="48"/>
      <x:c r="AF301" s="48"/>
      <x:c r="AG301" s="48"/>
      <x:c r="AH301" s="48"/>
      <x:c r="AI301" s="48"/>
      <x:c r="AJ301" s="48"/>
      <x:c r="AK301" s="48"/>
      <x:c r="AL301" s="48"/>
      <x:c r="AM301" s="52"/>
    </x:row>
    <x:row r="302">
      <x:c r="A302" s="47"/>
      <x:c r="B302" s="48"/>
      <x:c r="C302" s="49"/>
      <x:c r="D302" s="48"/>
      <x:c r="E302" s="48"/>
      <x:c r="F302" s="48"/>
      <x:c r="G302" s="48"/>
      <x:c r="H302" s="50"/>
      <x:c r="I302" s="50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51"/>
      <x:c r="X302" s="48"/>
      <x:c r="Y302" s="48"/>
      <x:c r="Z302" s="48"/>
      <x:c r="AA302" s="48"/>
      <x:c r="AB302" s="48"/>
      <x:c r="AC302" s="48"/>
      <x:c r="AD302" s="48"/>
      <x:c r="AE302" s="48"/>
      <x:c r="AF302" s="48"/>
      <x:c r="AG302" s="48"/>
      <x:c r="AH302" s="48"/>
      <x:c r="AI302" s="48"/>
      <x:c r="AJ302" s="48"/>
      <x:c r="AK302" s="48"/>
      <x:c r="AL302" s="48"/>
      <x:c r="AM302" s="52"/>
    </x:row>
    <x:row r="303">
      <x:c r="A303" s="47"/>
      <x:c r="B303" s="48"/>
      <x:c r="C303" s="49"/>
      <x:c r="D303" s="48"/>
      <x:c r="E303" s="48"/>
      <x:c r="F303" s="48"/>
      <x:c r="G303" s="48"/>
      <x:c r="H303" s="50"/>
      <x:c r="I303" s="50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51"/>
      <x:c r="X303" s="48"/>
      <x:c r="Y303" s="48"/>
      <x:c r="Z303" s="48"/>
      <x:c r="AA303" s="48"/>
      <x:c r="AB303" s="48"/>
      <x:c r="AC303" s="48"/>
      <x:c r="AD303" s="48"/>
      <x:c r="AE303" s="48"/>
      <x:c r="AF303" s="48"/>
      <x:c r="AG303" s="48"/>
      <x:c r="AH303" s="48"/>
      <x:c r="AI303" s="48"/>
      <x:c r="AJ303" s="48"/>
      <x:c r="AK303" s="48"/>
      <x:c r="AL303" s="48"/>
      <x:c r="AM303" s="52"/>
    </x:row>
    <x:row r="304">
      <x:c r="A304" s="47"/>
      <x:c r="B304" s="48"/>
      <x:c r="C304" s="49"/>
      <x:c r="D304" s="48"/>
      <x:c r="E304" s="48"/>
      <x:c r="F304" s="48"/>
      <x:c r="G304" s="48"/>
      <x:c r="H304" s="50"/>
      <x:c r="I304" s="50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51"/>
      <x:c r="X304" s="48"/>
      <x:c r="Y304" s="48"/>
      <x:c r="Z304" s="48"/>
      <x:c r="AA304" s="48"/>
      <x:c r="AB304" s="48"/>
      <x:c r="AC304" s="48"/>
      <x:c r="AD304" s="48"/>
      <x:c r="AE304" s="48"/>
      <x:c r="AF304" s="48"/>
      <x:c r="AG304" s="48"/>
      <x:c r="AH304" s="48"/>
      <x:c r="AI304" s="48"/>
      <x:c r="AJ304" s="48"/>
      <x:c r="AK304" s="48"/>
      <x:c r="AL304" s="48"/>
      <x:c r="AM304" s="52"/>
    </x:row>
    <x:row r="305">
      <x:c r="A305" s="47"/>
      <x:c r="B305" s="48"/>
      <x:c r="C305" s="49"/>
      <x:c r="D305" s="48"/>
      <x:c r="E305" s="48"/>
      <x:c r="F305" s="48"/>
      <x:c r="G305" s="48"/>
      <x:c r="H305" s="50"/>
      <x:c r="I305" s="50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51"/>
      <x:c r="X305" s="48"/>
      <x:c r="Y305" s="48"/>
      <x:c r="Z305" s="48"/>
      <x:c r="AA305" s="48"/>
      <x:c r="AB305" s="48"/>
      <x:c r="AC305" s="48"/>
      <x:c r="AD305" s="48"/>
      <x:c r="AE305" s="48"/>
      <x:c r="AF305" s="48"/>
      <x:c r="AG305" s="48"/>
      <x:c r="AH305" s="48"/>
      <x:c r="AI305" s="48"/>
      <x:c r="AJ305" s="48"/>
      <x:c r="AK305" s="48"/>
      <x:c r="AL305" s="48"/>
      <x:c r="AM305" s="52"/>
    </x:row>
    <x:row r="306">
      <x:c r="A306" s="53"/>
      <x:c r="B306" s="54"/>
      <x:c r="C306" s="55"/>
      <x:c r="D306" s="54"/>
      <x:c r="E306" s="54"/>
      <x:c r="F306" s="54"/>
      <x:c r="G306" s="54"/>
      <x:c r="H306" s="56"/>
      <x:c r="I306" s="56"/>
      <x:c r="J306" s="54"/>
      <x:c r="K306" s="54"/>
      <x:c r="L306" s="54"/>
      <x:c r="M306" s="54"/>
      <x:c r="N306" s="54"/>
      <x:c r="O306" s="54"/>
      <x:c r="P306" s="54"/>
      <x:c r="Q306" s="54"/>
      <x:c r="R306" s="54"/>
      <x:c r="S306" s="54"/>
      <x:c r="T306" s="54"/>
      <x:c r="U306" s="54"/>
      <x:c r="V306" s="54"/>
      <x:c r="W306" s="57"/>
      <x:c r="X306" s="54"/>
      <x:c r="Y306" s="54"/>
      <x:c r="Z306" s="54"/>
      <x:c r="AA306" s="54"/>
      <x:c r="AB306" s="54"/>
      <x:c r="AC306" s="54"/>
      <x:c r="AD306" s="54"/>
      <x:c r="AE306" s="54"/>
      <x:c r="AF306" s="54"/>
      <x:c r="AG306" s="54"/>
      <x:c r="AH306" s="54"/>
      <x:c r="AI306" s="54"/>
      <x:c r="AJ306" s="54"/>
      <x:c r="AK306" s="54"/>
      <x:c r="AL306" s="54"/>
      <x:c r="AM306" s="58"/>
    </x:row>
  </x:sheetData>
  <x:dataValidations count="5">
    <x:dataValidation type="list" sqref="O7:O306">
      <x:formula1>"0,1"</x:formula1>
    </x:dataValidation>
    <x:dataValidation type="list" sqref="V7:V306">
      <x:formula1>"0,1"</x:formula1>
    </x:dataValidation>
    <x:dataValidation type="list" sqref="AE7:AE306">
      <x:formula1>"0,1"</x:formula1>
    </x:dataValidation>
    <x:dataValidation type="list" sqref="X7:X306">
      <x:formula1>"g,kg,oz,lb,carat"</x:formula1>
    </x:dataValidation>
    <x:dataValidation type="list" sqref="AC7:AC306">
      <x:formula1>"mm,cm,in,yd"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7C7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34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2" hidden="0" customWidth="1"/>
    <x:col min="11" max="11" width="16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</x:cols>
  <x:sheetData>
    <x:row r="2">
      <x:c r="A2" s="1" t="str">
        <x:v>Raw Inventory Source</x:v>
      </x:c>
      <x:c r="I2" s="4" t="str">
        <x:v>PORTFOLIO DEMO • SYED AREEB ALI</x:v>
      </x:c>
    </x:row>
    <x:row r="3">
      <x:c r="A3" s="2" t="str">
        <x:v>Intentionally messy sample export used to demonstrate cleanup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Source Row</x:v>
      </x:c>
      <x:c r="B6" s="10" t="str">
        <x:v>SKU</x:v>
      </x:c>
      <x:c r="C6" s="10" t="str">
        <x:v>Product Name</x:v>
      </x:c>
      <x:c r="D6" s="10" t="str">
        <x:v>Description</x:v>
      </x:c>
      <x:c r="E6" s="10" t="str">
        <x:v>Category</x:v>
      </x:c>
      <x:c r="F6" s="10" t="str">
        <x:v>Tags</x:v>
      </x:c>
      <x:c r="G6" s="10" t="str">
        <x:v>Supply Price</x:v>
      </x:c>
      <x:c r="H6" s="10" t="str">
        <x:v>Retail Price</x:v>
      </x:c>
      <x:c r="I6" s="10" t="str">
        <x:v>Brand</x:v>
      </x:c>
      <x:c r="J6" s="10" t="str">
        <x:v>Supplier</x:v>
      </x:c>
      <x:c r="K6" s="10" t="str">
        <x:v>Supplier Code</x:v>
      </x:c>
      <x:c r="L6" s="10" t="str">
        <x:v>Active</x:v>
      </x:c>
      <x:c r="M6" s="10" t="str">
        <x:v>Inventory</x:v>
      </x:c>
      <x:c r="N6" s="10" t="str">
        <x:v>Reorder Point</x:v>
      </x:c>
      <x:c r="O6" s="10" t="str">
        <x:v>Reorder Qty</x:v>
      </x:c>
    </x:row>
    <x:row r="7">
      <x:c r="A7" s="24" t="n">
        <x:v>2</x:v>
      </x:c>
      <x:c r="B7" s="24" t="str">
        <x:v> hp-0001 </x:v>
      </x:c>
      <x:c r="C7" s="24" t="str">
        <x:v> CANVAS MARKET TOTE  </x:v>
      </x:c>
      <x:c r="D7" s="24" t="str"/>
      <x:c r="E7" s="24" t="str">
        <x:v>Home / Dining </x:v>
      </x:c>
      <x:c r="F7" s="24" t="str">
        <x:v>new,  home ,featured</x:v>
      </x:c>
      <x:c r="G7" s="34" t="n">
        <x:v>-5</x:v>
      </x:c>
      <x:c r="H7" s="34" t="n">
        <x:v>8</x:v>
      </x:c>
      <x:c r="I7" s="24" t="str">
        <x:v>North &amp; Pine</x:v>
      </x:c>
      <x:c r="J7" s="24" t="str">
        <x:v>Evergreen Wholesale</x:v>
      </x:c>
      <x:c r="K7" s="24" t="str">
        <x:v>SUP-4100</x:v>
      </x:c>
      <x:c r="L7" s="24" t="str">
        <x:v>inactive</x:v>
      </x:c>
      <x:c r="M7" s="24" t="n">
        <x:v>-2</x:v>
      </x:c>
      <x:c r="N7" s="24" t="n">
        <x:v>6</x:v>
      </x:c>
      <x:c r="O7" s="24" t="n">
        <x:v>12</x:v>
      </x:c>
    </x:row>
    <x:row r="8">
      <x:c r="A8" s="24" t="n">
        <x:v>3</x:v>
      </x:c>
      <x:c r="B8" s="24" t="str">
        <x:v> hp-0002 </x:v>
      </x:c>
      <x:c r="C8" s="24" t="str">
        <x:v>Stoneware Mug</x:v>
      </x:c>
      <x:c r="D8" s="24" t="str">
        <x:v>Stoneware Mug for modern everyday spaces.</x:v>
      </x:c>
      <x:c r="E8" s="24" t="str">
        <x:v>Home / Decor</x:v>
      </x:c>
      <x:c r="F8" s="24" t="str">
        <x:v>home,retail</x:v>
      </x:c>
      <x:c r="G8" s="34" t="n">
        <x:v>9.15</x:v>
      </x:c>
      <x:c r="H8" s="34" t="n">
        <x:v>25.1</x:v>
      </x:c>
      <x:c r="I8" s="24" t="str">
        <x:v>Studio Vale</x:v>
      </x:c>
      <x:c r="J8" s="24" t="str">
        <x:v>Mosaic Supply Co</x:v>
      </x:c>
      <x:c r="K8" s="24" t="str">
        <x:v>SUP-4101</x:v>
      </x:c>
      <x:c r="L8" s="24" t="str">
        <x:v>YES</x:v>
      </x:c>
      <x:c r="M8" s="24" t="n">
        <x:v>15</x:v>
      </x:c>
      <x:c r="N8" s="24" t="n">
        <x:v>7</x:v>
      </x:c>
      <x:c r="O8" s="24" t="n">
        <x:v>13</x:v>
      </x:c>
    </x:row>
    <x:row r="9">
      <x:c r="A9" s="24" t="n">
        <x:v>4</x:v>
      </x:c>
      <x:c r="B9" s="24" t="str">
        <x:v> hp-0003 </x:v>
      </x:c>
      <x:c r="C9" s="24" t="str">
        <x:v>Linen Table Runner</x:v>
      </x:c>
      <x:c r="D9" s="24" t="str">
        <x:v>Linen Table Runner for modern everyday spaces.</x:v>
      </x:c>
      <x:c r="E9" s="24" t="str">
        <x:v>Home / Bath</x:v>
      </x:c>
      <x:c r="F9" s="24" t="str">
        <x:v>home,retail</x:v>
      </x:c>
      <x:c r="G9" s="34" t="n">
        <x:v>10.8</x:v>
      </x:c>
      <x:c r="H9" s="34" t="n">
        <x:v>28.2</x:v>
      </x:c>
      <x:c r="I9" s="24" t="str">
        <x:v>Common Form</x:v>
      </x:c>
      <x:c r="J9" s="24" t="str">
        <x:v>Fieldwork Goods</x:v>
      </x:c>
      <x:c r="K9" s="24" t="str">
        <x:v>SUP-4102</x:v>
      </x:c>
      <x:c r="L9" s="24" t="str">
        <x:v>YES</x:v>
      </x:c>
      <x:c r="M9" s="24" t="n">
        <x:v>22</x:v>
      </x:c>
      <x:c r="N9" s="24" t="n">
        <x:v>8</x:v>
      </x:c>
      <x:c r="O9" s="24" t="n">
        <x:v>14</x:v>
      </x:c>
    </x:row>
    <x:row r="10">
      <x:c r="A10" s="24" t="n">
        <x:v>5</x:v>
      </x:c>
      <x:c r="B10" s="24" t="str">
        <x:v> hp-0004 </x:v>
      </x:c>
      <x:c r="C10" s="24" t="str">
        <x:v>Oak Serving Board</x:v>
      </x:c>
      <x:c r="D10" s="24" t="str">
        <x:v>Oak Serving Board for modern everyday spaces.</x:v>
      </x:c>
      <x:c r="E10" s="24" t="str">
        <x:v>Lifestyle / Travel</x:v>
      </x:c>
      <x:c r="F10" s="24" t="str">
        <x:v>home,retail</x:v>
      </x:c>
      <x:c r="G10" s="34" t="n">
        <x:v>12.45</x:v>
      </x:c>
      <x:c r="H10" s="34" t="n">
        <x:v>31.3</x:v>
      </x:c>
      <x:c r="I10" s="24" t="str">
        <x:v>Hearthline</x:v>
      </x:c>
      <x:c r="J10" s="24" t="str">
        <x:v>Evergreen Wholesale</x:v>
      </x:c>
      <x:c r="K10" s="24" t="str">
        <x:v>SUP-4103</x:v>
      </x:c>
      <x:c r="L10" s="24" t="str">
        <x:v>YES</x:v>
      </x:c>
      <x:c r="M10" s="24" t="n">
        <x:v>29</x:v>
      </x:c>
      <x:c r="N10" s="24" t="n">
        <x:v>9</x:v>
      </x:c>
      <x:c r="O10" s="24" t="n">
        <x:v>15</x:v>
      </x:c>
    </x:row>
    <x:row r="11">
      <x:c r="A11" s="24" t="n">
        <x:v>6</x:v>
      </x:c>
      <x:c r="B11" s="24" t="str">
        <x:v> hp-0005 </x:v>
      </x:c>
      <x:c r="C11" s="24" t="str">
        <x:v>Scented Soy Candle</x:v>
      </x:c>
      <x:c r="D11" s="24" t="str">
        <x:v>Scented Soy Candle for modern everyday spaces.</x:v>
      </x:c>
      <x:c r="E11" s="24" t="str">
        <x:v>Office</x:v>
      </x:c>
      <x:c r="F11" s="24" t="str">
        <x:v>home,retail</x:v>
      </x:c>
      <x:c r="G11" s="34" t="n">
        <x:v>14.1</x:v>
      </x:c>
      <x:c r="H11" s="34" t="n">
        <x:v>34.4</x:v>
      </x:c>
      <x:c r="I11" s="24" t="str">
        <x:v>North &amp; Pine</x:v>
      </x:c>
      <x:c r="J11" s="24" t="str">
        <x:v>Mosaic Supply Co</x:v>
      </x:c>
      <x:c r="K11" s="24" t="str">
        <x:v>SUP-4104</x:v>
      </x:c>
      <x:c r="L11" s="24" t="str">
        <x:v>YES</x:v>
      </x:c>
      <x:c r="M11" s="24" t="n">
        <x:v>36</x:v>
      </x:c>
      <x:c r="N11" s="24" t="n">
        <x:v>10</x:v>
      </x:c>
      <x:c r="O11" s="24" t="n">
        <x:v>16</x:v>
      </x:c>
    </x:row>
    <x:row r="12">
      <x:c r="A12" s="24" t="n">
        <x:v>7</x:v>
      </x:c>
      <x:c r="B12" s="24" t="str">
        <x:v> hp-0006 </x:v>
      </x:c>
      <x:c r="C12" s="24" t="str">
        <x:v>Woven Storage Basket</x:v>
      </x:c>
      <x:c r="D12" s="24" t="str">
        <x:v>Woven Storage Basket for modern everyday spaces.</x:v>
      </x:c>
      <x:c r="E12" s="24" t="str">
        <x:v>Home / Dining</x:v>
      </x:c>
      <x:c r="F12" s="24" t="str">
        <x:v>new,  home ,featured</x:v>
      </x:c>
      <x:c r="G12" s="34" t="n">
        <x:v>15.75</x:v>
      </x:c>
      <x:c r="H12" s="34" t="n">
        <x:v>37.5</x:v>
      </x:c>
      <x:c r="I12" s="24" t="str">
        <x:v>Studio Vale</x:v>
      </x:c>
      <x:c r="J12" s="24" t="str">
        <x:v>Fieldwork Goods</x:v>
      </x:c>
      <x:c r="K12" s="24" t="str">
        <x:v>SUP-4105</x:v>
      </x:c>
      <x:c r="L12" s="24" t="str">
        <x:v>YES</x:v>
      </x:c>
      <x:c r="M12" s="24" t="n">
        <x:v>43</x:v>
      </x:c>
      <x:c r="N12" s="24" t="n">
        <x:v>6</x:v>
      </x:c>
      <x:c r="O12" s="24" t="n">
        <x:v>17</x:v>
      </x:c>
    </x:row>
    <x:row r="13">
      <x:c r="A13" s="24" t="n">
        <x:v>8</x:v>
      </x:c>
      <x:c r="B13" s="24" t="str">
        <x:v> hp-0007 </x:v>
      </x:c>
      <x:c r="C13" s="24" t="str">
        <x:v>Ceramic Planter</x:v>
      </x:c>
      <x:c r="D13" s="24" t="str"/>
      <x:c r="E13" s="24" t="str">
        <x:v>Home / Decor</x:v>
      </x:c>
      <x:c r="F13" s="24" t="str">
        <x:v>home,retail</x:v>
      </x:c>
      <x:c r="G13" s="34" t="n">
        <x:v>17.4</x:v>
      </x:c>
      <x:c r="H13" s="34" t="n">
        <x:v>40.6</x:v>
      </x:c>
      <x:c r="I13" s="24" t="str">
        <x:v>Common Form</x:v>
      </x:c>
      <x:c r="J13" s="24" t="str">
        <x:v>Evergreen Wholesale</x:v>
      </x:c>
      <x:c r="K13" s="24" t="str">
        <x:v>SUP-4106</x:v>
      </x:c>
      <x:c r="L13" s="24" t="str">
        <x:v>YES</x:v>
      </x:c>
      <x:c r="M13" s="24" t="n">
        <x:v>50</x:v>
      </x:c>
      <x:c r="N13" s="24" t="n">
        <x:v>7</x:v>
      </x:c>
      <x:c r="O13" s="24" t="n">
        <x:v>18</x:v>
      </x:c>
    </x:row>
    <x:row r="14">
      <x:c r="A14" s="24" t="n">
        <x:v>9</x:v>
      </x:c>
      <x:c r="B14" s="24" t="str">
        <x:v> hp-0008 </x:v>
      </x:c>
      <x:c r="C14" s="24" t="str">
        <x:v> COTTON THROW BLANKET  </x:v>
      </x:c>
      <x:c r="D14" s="24" t="str">
        <x:v>Cotton Throw Blanket for modern everyday spaces.</x:v>
      </x:c>
      <x:c r="E14" s="24" t="str">
        <x:v>Home / Bath</x:v>
      </x:c>
      <x:c r="F14" s="24" t="str">
        <x:v>home,retail</x:v>
      </x:c>
      <x:c r="G14" s="34" t="n">
        <x:v>19.05</x:v>
      </x:c>
      <x:c r="H14" s="34" t="n">
        <x:v>43.7</x:v>
      </x:c>
      <x:c r="I14" s="24" t="str">
        <x:v>Hearthline</x:v>
      </x:c>
      <x:c r="J14" s="24" t="str">
        <x:v>Mosaic Supply Co</x:v>
      </x:c>
      <x:c r="K14" s="24" t="str">
        <x:v>SUP-4107</x:v>
      </x:c>
      <x:c r="L14" s="24" t="str">
        <x:v>YES</x:v>
      </x:c>
      <x:c r="M14" s="24" t="n">
        <x:v>14</x:v>
      </x:c>
      <x:c r="N14" s="24" t="n">
        <x:v>8</x:v>
      </x:c>
      <x:c r="O14" s="24" t="n">
        <x:v>19</x:v>
      </x:c>
    </x:row>
    <x:row r="15">
      <x:c r="A15" s="24" t="n">
        <x:v>10</x:v>
      </x:c>
      <x:c r="B15" s="24" t="str">
        <x:v> hp-0009 </x:v>
      </x:c>
      <x:c r="C15" s="24" t="str">
        <x:v>Glass Carafe</x:v>
      </x:c>
      <x:c r="D15" s="24" t="str">
        <x:v>Glass Carafe for modern everyday spaces.</x:v>
      </x:c>
      <x:c r="E15" s="24" t="str">
        <x:v>Lifestyle / Travel </x:v>
      </x:c>
      <x:c r="F15" s="24" t="str">
        <x:v>home,retail</x:v>
      </x:c>
      <x:c r="G15" s="34" t="n">
        <x:v>20.7</x:v>
      </x:c>
      <x:c r="H15" s="34" t="n">
        <x:v>46.8</x:v>
      </x:c>
      <x:c r="I15" s="24" t="str">
        <x:v>North &amp; Pine</x:v>
      </x:c>
      <x:c r="J15" s="24" t="str">
        <x:v>Fieldwork Goods</x:v>
      </x:c>
      <x:c r="K15" s="24" t="str">
        <x:v>SUP-4108</x:v>
      </x:c>
      <x:c r="L15" s="24" t="str">
        <x:v>YES</x:v>
      </x:c>
      <x:c r="M15" s="24" t="n">
        <x:v>21</x:v>
      </x:c>
      <x:c r="N15" s="24" t="n">
        <x:v>9</x:v>
      </x:c>
      <x:c r="O15" s="24" t="n">
        <x:v>12</x:v>
      </x:c>
    </x:row>
    <x:row r="16">
      <x:c r="A16" s="24" t="n">
        <x:v>11</x:v>
      </x:c>
      <x:c r="B16" s="24" t="str">
        <x:v>HP 1008</x:v>
      </x:c>
      <x:c r="C16" s="24" t="str">
        <x:v>Brass Photo Frame</x:v>
      </x:c>
      <x:c r="D16" s="24" t="str">
        <x:v>Brass Photo Frame for modern everyday spaces.</x:v>
      </x:c>
      <x:c r="E16" s="24" t="str">
        <x:v>Office</x:v>
      </x:c>
      <x:c r="F16" s="24" t="str">
        <x:v>home,retail</x:v>
      </x:c>
      <x:c r="G16" s="34" t="n">
        <x:v>22.35</x:v>
      </x:c>
      <x:c r="H16" s="34" t="n">
        <x:v>8</x:v>
      </x:c>
      <x:c r="I16" s="24" t="str">
        <x:v>Studio Vale</x:v>
      </x:c>
      <x:c r="J16" s="24" t="str">
        <x:v>Evergreen Wholesale</x:v>
      </x:c>
      <x:c r="K16" s="24" t="str">
        <x:v>SUP-4109</x:v>
      </x:c>
      <x:c r="L16" s="24" t="str">
        <x:v>YES</x:v>
      </x:c>
      <x:c r="M16" s="24" t="n">
        <x:v>28</x:v>
      </x:c>
      <x:c r="N16" s="24" t="n">
        <x:v>10</x:v>
      </x:c>
      <x:c r="O16" s="24" t="n">
        <x:v>13</x:v>
      </x:c>
    </x:row>
    <x:row r="17">
      <x:c r="A17" s="24" t="n">
        <x:v>12</x:v>
      </x:c>
      <x:c r="B17" s="24" t="str">
        <x:v> hp-0011 </x:v>
      </x:c>
      <x:c r="C17" s="24" t="str">
        <x:v>Bamboo Bath Tray</x:v>
      </x:c>
      <x:c r="D17" s="24" t="str">
        <x:v>Bamboo Bath Tray for modern everyday spaces.</x:v>
      </x:c>
      <x:c r="E17" s="24" t="str">
        <x:v>Home / Dining</x:v>
      </x:c>
      <x:c r="F17" s="24" t="str">
        <x:v>new,  home ,featured</x:v>
      </x:c>
      <x:c r="G17" s="34" t="n">
        <x:v>24</x:v>
      </x:c>
      <x:c r="H17" s="34" t="n">
        <x:v>53</x:v>
      </x:c>
      <x:c r="I17" s="24" t="str">
        <x:v>Common Form</x:v>
      </x:c>
      <x:c r="J17" s="24" t="str">
        <x:v>Mosaic Supply Co</x:v>
      </x:c>
      <x:c r="K17" s="24" t="str">
        <x:v>SUP-4110</x:v>
      </x:c>
      <x:c r="L17" s="24" t="str">
        <x:v>YES</x:v>
      </x:c>
      <x:c r="M17" s="24" t="n">
        <x:v>-2</x:v>
      </x:c>
      <x:c r="N17" s="24" t="n">
        <x:v>6</x:v>
      </x:c>
      <x:c r="O17" s="24" t="n">
        <x:v>14</x:v>
      </x:c>
    </x:row>
    <x:row r="18">
      <x:c r="A18" s="24" t="n">
        <x:v>13</x:v>
      </x:c>
      <x:c r="B18" s="24" t="str">
        <x:v> hp-0012 </x:v>
      </x:c>
      <x:c r="C18" s="24" t="str">
        <x:v>Wool Cushion Cover</x:v>
      </x:c>
      <x:c r="D18" s="24" t="str">
        <x:v>Wool Cushion Cover for modern everyday spaces.</x:v>
      </x:c>
      <x:c r="E18" s="24" t="str">
        <x:v>Home / Decor</x:v>
      </x:c>
      <x:c r="F18" s="24" t="str">
        <x:v>home,retail</x:v>
      </x:c>
      <x:c r="G18" s="34" t="n">
        <x:v>-5</x:v>
      </x:c>
      <x:c r="H18" s="34" t="n">
        <x:v>56.1</x:v>
      </x:c>
      <x:c r="I18" s="24" t="str">
        <x:v>Hearthline</x:v>
      </x:c>
      <x:c r="J18" s="24" t="str">
        <x:v>Fieldwork Goods</x:v>
      </x:c>
      <x:c r="K18" s="24" t="str">
        <x:v>SUP-4111</x:v>
      </x:c>
      <x:c r="L18" s="24" t="str">
        <x:v>YES</x:v>
      </x:c>
      <x:c r="M18" s="24" t="n">
        <x:v>42</x:v>
      </x:c>
      <x:c r="N18" s="24" t="n">
        <x:v>7</x:v>
      </x:c>
      <x:c r="O18" s="24" t="n">
        <x:v>15</x:v>
      </x:c>
    </x:row>
    <x:row r="19">
      <x:c r="A19" s="24" t="n">
        <x:v>14</x:v>
      </x:c>
      <x:c r="B19" s="24" t="str">
        <x:v> hp-0013 </x:v>
      </x:c>
      <x:c r="C19" s="24" t="str">
        <x:v>Marble Coaster Set</x:v>
      </x:c>
      <x:c r="D19" s="24" t="str"/>
      <x:c r="E19" s="24" t="str">
        <x:v>Home / Bath</x:v>
      </x:c>
      <x:c r="F19" s="24" t="str">
        <x:v>home,retail</x:v>
      </x:c>
      <x:c r="G19" s="34" t="n">
        <x:v>27.3</x:v>
      </x:c>
      <x:c r="H19" s="34" t="n">
        <x:v>59.2</x:v>
      </x:c>
      <x:c r="I19" s="24" t="str">
        <x:v>North &amp; Pine</x:v>
      </x:c>
      <x:c r="J19" s="24" t="str">
        <x:v>Evergreen Wholesale</x:v>
      </x:c>
      <x:c r="K19" s="24" t="str">
        <x:v>SUP-4112</x:v>
      </x:c>
      <x:c r="L19" s="24" t="str">
        <x:v>YES</x:v>
      </x:c>
      <x:c r="M19" s="24" t="n">
        <x:v>49</x:v>
      </x:c>
      <x:c r="N19" s="24" t="n">
        <x:v>8</x:v>
      </x:c>
      <x:c r="O19" s="24" t="n">
        <x:v>16</x:v>
      </x:c>
    </x:row>
    <x:row r="20">
      <x:c r="A20" s="24" t="n">
        <x:v>15</x:v>
      </x:c>
      <x:c r="B20" s="24" t="str">
        <x:v> hp-0014 </x:v>
      </x:c>
      <x:c r="C20" s="24" t="str">
        <x:v>Rattan Tissue Box</x:v>
      </x:c>
      <x:c r="D20" s="24" t="str">
        <x:v>Rattan Tissue Box for modern everyday spaces.</x:v>
      </x:c>
      <x:c r="E20" s="24" t="str">
        <x:v>Lifestyle / Travel</x:v>
      </x:c>
      <x:c r="F20" s="24" t="str">
        <x:v>home,retail</x:v>
      </x:c>
      <x:c r="G20" s="34" t="n">
        <x:v>28.95</x:v>
      </x:c>
      <x:c r="H20" s="34" t="n">
        <x:v>62.3</x:v>
      </x:c>
      <x:c r="I20" s="24" t="str">
        <x:v>Studio Vale</x:v>
      </x:c>
      <x:c r="J20" s="24" t="str">
        <x:v>Mosaic Supply Co</x:v>
      </x:c>
      <x:c r="K20" s="24" t="str">
        <x:v>SUP-4113</x:v>
      </x:c>
      <x:c r="L20" s="24" t="str">
        <x:v>inactive</x:v>
      </x:c>
      <x:c r="M20" s="24" t="n">
        <x:v>13</x:v>
      </x:c>
      <x:c r="N20" s="24" t="n">
        <x:v>9</x:v>
      </x:c>
      <x:c r="O20" s="24" t="n">
        <x:v>17</x:v>
      </x:c>
    </x:row>
    <x:row r="21">
      <x:c r="A21" s="24" t="n">
        <x:v>16</x:v>
      </x:c>
      <x:c r="B21" s="24" t="str">
        <x:v> hp-0015 </x:v>
      </x:c>
      <x:c r="C21" s="24" t="str">
        <x:v> ENAMEL TEA KETTLE  </x:v>
      </x:c>
      <x:c r="D21" s="24" t="str">
        <x:v>Enamel Tea Kettle for modern everyday spaces.</x:v>
      </x:c>
      <x:c r="E21" s="24" t="str">
        <x:v>Office</x:v>
      </x:c>
      <x:c r="F21" s="24" t="str">
        <x:v>home,retail</x:v>
      </x:c>
      <x:c r="G21" s="34" t="n">
        <x:v>30.6</x:v>
      </x:c>
      <x:c r="H21" s="34" t="n">
        <x:v>65.4</x:v>
      </x:c>
      <x:c r="I21" s="24" t="str">
        <x:v>Common Form</x:v>
      </x:c>
      <x:c r="J21" s="24" t="str">
        <x:v>Fieldwork Goods</x:v>
      </x:c>
      <x:c r="K21" s="24" t="str">
        <x:v>SUP-4114</x:v>
      </x:c>
      <x:c r="L21" s="24" t="str">
        <x:v>YES</x:v>
      </x:c>
      <x:c r="M21" s="24" t="n">
        <x:v>20</x:v>
      </x:c>
      <x:c r="N21" s="24" t="n">
        <x:v>10</x:v>
      </x:c>
      <x:c r="O21" s="24" t="n">
        <x:v>18</x:v>
      </x:c>
    </x:row>
    <x:row r="22">
      <x:c r="A22" s="24" t="n">
        <x:v>17</x:v>
      </x:c>
      <x:c r="B22" s="24" t="str">
        <x:v> hp-0016 </x:v>
      </x:c>
      <x:c r="C22" s="24" t="str">
        <x:v>Acacia Salad Bowl</x:v>
      </x:c>
      <x:c r="D22" s="24" t="str">
        <x:v>Acacia Salad Bowl for modern everyday spaces.</x:v>
      </x:c>
      <x:c r="E22" s="24" t="str">
        <x:v>Home / Dining</x:v>
      </x:c>
      <x:c r="F22" s="24" t="str">
        <x:v>new,  home ,featured</x:v>
      </x:c>
      <x:c r="G22" s="34" t="n">
        <x:v>32.25</x:v>
      </x:c>
      <x:c r="H22" s="34" t="n">
        <x:v>68.5</x:v>
      </x:c>
      <x:c r="I22" s="24" t="str">
        <x:v>Hearthline</x:v>
      </x:c>
      <x:c r="J22" s="24" t="str">
        <x:v>Evergreen Wholesale</x:v>
      </x:c>
      <x:c r="K22" s="24" t="str">
        <x:v>SUP-4115</x:v>
      </x:c>
      <x:c r="L22" s="24" t="str">
        <x:v>YES</x:v>
      </x:c>
      <x:c r="M22" s="24" t="n">
        <x:v>27</x:v>
      </x:c>
      <x:c r="N22" s="24" t="n">
        <x:v>6</x:v>
      </x:c>
      <x:c r="O22" s="24" t="n">
        <x:v>19</x:v>
      </x:c>
    </x:row>
    <x:row r="23">
      <x:c r="A23" s="24" t="n">
        <x:v>18</x:v>
      </x:c>
      <x:c r="B23" s="24" t="str">
        <x:v> hp-0017 </x:v>
      </x:c>
      <x:c r="C23" s="24" t="str">
        <x:v>Velvet Floor Cushion</x:v>
      </x:c>
      <x:c r="D23" s="24" t="str">
        <x:v>Velvet Floor Cushion for modern everyday spaces.</x:v>
      </x:c>
      <x:c r="E23" s="24" t="str">
        <x:v>Home / Decor </x:v>
      </x:c>
      <x:c r="F23" s="24" t="str">
        <x:v>home,retail</x:v>
      </x:c>
      <x:c r="G23" s="34" t="n">
        <x:v>33.9</x:v>
      </x:c>
      <x:c r="H23" s="34" t="n">
        <x:v>71.6</x:v>
      </x:c>
      <x:c r="I23" s="24" t="str">
        <x:v>North &amp; Pine</x:v>
      </x:c>
      <x:c r="J23" s="24" t="str">
        <x:v>Mosaic Supply Co</x:v>
      </x:c>
      <x:c r="K23" s="24" t="str">
        <x:v>SUP-4116</x:v>
      </x:c>
      <x:c r="L23" s="24" t="str">
        <x:v>YES</x:v>
      </x:c>
      <x:c r="M23" s="24" t="n">
        <x:v>34</x:v>
      </x:c>
      <x:c r="N23" s="24" t="n">
        <x:v>7</x:v>
      </x:c>
      <x:c r="O23" s="24" t="n">
        <x:v>12</x:v>
      </x:c>
    </x:row>
    <x:row r="24">
      <x:c r="A24" s="24" t="n">
        <x:v>19</x:v>
      </x:c>
      <x:c r="B24" s="24" t="str">
        <x:v> hp-0018 </x:v>
      </x:c>
      <x:c r="C24" s="24" t="str">
        <x:v>Recycled Glass Vase</x:v>
      </x:c>
      <x:c r="D24" s="24" t="str">
        <x:v>Recycled Glass Vase for modern everyday spaces.</x:v>
      </x:c>
      <x:c r="E24" s="24" t="str">
        <x:v>Home / Bath</x:v>
      </x:c>
      <x:c r="F24" s="24" t="str">
        <x:v>home,retail</x:v>
      </x:c>
      <x:c r="G24" s="34" t="n">
        <x:v>35.55</x:v>
      </x:c>
      <x:c r="H24" s="34" t="n">
        <x:v>74.7</x:v>
      </x:c>
      <x:c r="I24" s="24" t="str">
        <x:v>Studio Vale</x:v>
      </x:c>
      <x:c r="J24" s="24" t="str">
        <x:v>Fieldwork Goods</x:v>
      </x:c>
      <x:c r="K24" s="24" t="str">
        <x:v>SUP-4117</x:v>
      </x:c>
      <x:c r="L24" s="24" t="str">
        <x:v>YES</x:v>
      </x:c>
      <x:c r="M24" s="24" t="n">
        <x:v>41</x:v>
      </x:c>
      <x:c r="N24" s="24" t="n">
        <x:v>8</x:v>
      </x:c>
      <x:c r="O24" s="24" t="n">
        <x:v>13</x:v>
      </x:c>
    </x:row>
    <x:row r="25">
      <x:c r="A25" s="24" t="n">
        <x:v>20</x:v>
      </x:c>
      <x:c r="B25" s="24" t="str">
        <x:v>HP1008</x:v>
      </x:c>
      <x:c r="C25" s="24" t="str">
        <x:v>Hand Towel Set</x:v>
      </x:c>
      <x:c r="D25" s="24" t="str"/>
      <x:c r="E25" s="24" t="str">
        <x:v>Lifestyle / Travel</x:v>
      </x:c>
      <x:c r="F25" s="24" t="str">
        <x:v>home,retail</x:v>
      </x:c>
      <x:c r="G25" s="34" t="n">
        <x:v>37.2</x:v>
      </x:c>
      <x:c r="H25" s="34" t="n">
        <x:v>8</x:v>
      </x:c>
      <x:c r="I25" s="24" t="str">
        <x:v>Common Form</x:v>
      </x:c>
      <x:c r="J25" s="24" t="str">
        <x:v>Evergreen Wholesale</x:v>
      </x:c>
      <x:c r="K25" s="24" t="str">
        <x:v>SUP-4118</x:v>
      </x:c>
      <x:c r="L25" s="24" t="str">
        <x:v>YES</x:v>
      </x:c>
      <x:c r="M25" s="24" t="n">
        <x:v>48</x:v>
      </x:c>
      <x:c r="N25" s="24" t="n">
        <x:v>9</x:v>
      </x:c>
      <x:c r="O25" s="24" t="n">
        <x:v>14</x:v>
      </x:c>
    </x:row>
    <x:row r="26">
      <x:c r="A26" s="24" t="n">
        <x:v>21</x:v>
      </x:c>
      <x:c r="B26" s="24" t="str">
        <x:v> hp-0020 </x:v>
      </x:c>
      <x:c r="C26" s="24" t="str">
        <x:v>Cedar Hanger Pack</x:v>
      </x:c>
      <x:c r="D26" s="24" t="str">
        <x:v>Cedar Hanger Pack for modern everyday spaces.</x:v>
      </x:c>
      <x:c r="E26" s="24" t="str">
        <x:v>Office</x:v>
      </x:c>
      <x:c r="F26" s="24" t="str">
        <x:v>home,retail</x:v>
      </x:c>
      <x:c r="G26" s="34" t="n">
        <x:v>38.85</x:v>
      </x:c>
      <x:c r="H26" s="34" t="n">
        <x:v>80.9</x:v>
      </x:c>
      <x:c r="I26" s="24" t="str">
        <x:v>Hearthline</x:v>
      </x:c>
      <x:c r="J26" s="24" t="str">
        <x:v>Mosaic Supply Co</x:v>
      </x:c>
      <x:c r="K26" s="24" t="str">
        <x:v>SUP-4119</x:v>
      </x:c>
      <x:c r="L26" s="24" t="str">
        <x:v>YES</x:v>
      </x:c>
      <x:c r="M26" s="24" t="n">
        <x:v>12</x:v>
      </x:c>
      <x:c r="N26" s="24" t="n">
        <x:v>10</x:v>
      </x:c>
      <x:c r="O26" s="24" t="n">
        <x:v>15</x:v>
      </x:c>
    </x:row>
    <x:row r="27">
      <x:c r="A27" s="24" t="n">
        <x:v>22</x:v>
      </x:c>
      <x:c r="B27" s="24" t="str">
        <x:v> hp-0021 </x:v>
      </x:c>
      <x:c r="C27" s="24" t="str">
        <x:v>Travel Cutlery Set</x:v>
      </x:c>
      <x:c r="D27" s="24" t="str">
        <x:v>Travel Cutlery Set for modern everyday spaces.</x:v>
      </x:c>
      <x:c r="E27" s="24" t="str">
        <x:v>Home / Dining</x:v>
      </x:c>
      <x:c r="F27" s="24" t="str">
        <x:v>new,  home ,featured</x:v>
      </x:c>
      <x:c r="G27" s="34" t="n">
        <x:v>40.5</x:v>
      </x:c>
      <x:c r="H27" s="34" t="n">
        <x:v>84</x:v>
      </x:c>
      <x:c r="I27" s="24" t="str">
        <x:v>North &amp; Pine</x:v>
      </x:c>
      <x:c r="J27" s="24" t="str">
        <x:v>Fieldwork Goods</x:v>
      </x:c>
      <x:c r="K27" s="24" t="str">
        <x:v>SUP-4120</x:v>
      </x:c>
      <x:c r="L27" s="24" t="str">
        <x:v>YES</x:v>
      </x:c>
      <x:c r="M27" s="24" t="n">
        <x:v>-2</x:v>
      </x:c>
      <x:c r="N27" s="24" t="n">
        <x:v>6</x:v>
      </x:c>
      <x:c r="O27" s="24" t="n">
        <x:v>16</x:v>
      </x:c>
    </x:row>
    <x:row r="28">
      <x:c r="A28" s="24" t="n">
        <x:v>23</x:v>
      </x:c>
      <x:c r="B28" s="24" t="str">
        <x:v> hp-0022 </x:v>
      </x:c>
      <x:c r="C28" s="24" t="str">
        <x:v> DESK ORGANIZER  </x:v>
      </x:c>
      <x:c r="D28" s="24" t="str">
        <x:v>Desk Organizer for modern everyday spaces.</x:v>
      </x:c>
      <x:c r="E28" s="24" t="str">
        <x:v>Home / Decor</x:v>
      </x:c>
      <x:c r="F28" s="24" t="str">
        <x:v>home,retail</x:v>
      </x:c>
      <x:c r="G28" s="34" t="n">
        <x:v>42.15</x:v>
      </x:c>
      <x:c r="H28" s="34" t="n">
        <x:v>87.1</x:v>
      </x:c>
      <x:c r="I28" s="24" t="str">
        <x:v>Studio Vale</x:v>
      </x:c>
      <x:c r="J28" s="24" t="str">
        <x:v>Evergreen Wholesale</x:v>
      </x:c>
      <x:c r="K28" s="24" t="str">
        <x:v>SUP-4121</x:v>
      </x:c>
      <x:c r="L28" s="24" t="str">
        <x:v>YES</x:v>
      </x:c>
      <x:c r="M28" s="24" t="n">
        <x:v>26</x:v>
      </x:c>
      <x:c r="N28" s="24" t="n">
        <x:v>7</x:v>
      </x:c>
      <x:c r="O28" s="24" t="n">
        <x:v>17</x:v>
      </x:c>
    </x:row>
    <x:row r="29">
      <x:c r="A29" s="24" t="n">
        <x:v>24</x:v>
      </x:c>
      <x:c r="B29" s="24" t="str">
        <x:v> hp-0023 </x:v>
      </x:c>
      <x:c r="C29" s="24" t="str">
        <x:v>Waffle Robe</x:v>
      </x:c>
      <x:c r="D29" s="24" t="str">
        <x:v>Waffle Robe for modern everyday spaces.</x:v>
      </x:c>
      <x:c r="E29" s="24" t="str">
        <x:v>Home / Bath</x:v>
      </x:c>
      <x:c r="F29" s="24" t="str">
        <x:v>home,retail</x:v>
      </x:c>
      <x:c r="G29" s="34" t="n">
        <x:v>-5</x:v>
      </x:c>
      <x:c r="H29" s="34" t="n">
        <x:v>90.2</x:v>
      </x:c>
      <x:c r="I29" s="24" t="str">
        <x:v>Common Form</x:v>
      </x:c>
      <x:c r="J29" s="24" t="str">
        <x:v>Mosaic Supply Co</x:v>
      </x:c>
      <x:c r="K29" s="24" t="str">
        <x:v>SUP-4122</x:v>
      </x:c>
      <x:c r="L29" s="24" t="str">
        <x:v>YES</x:v>
      </x:c>
      <x:c r="M29" s="24" t="n">
        <x:v>33</x:v>
      </x:c>
      <x:c r="N29" s="24" t="n">
        <x:v>8</x:v>
      </x:c>
      <x:c r="O29" s="24" t="n">
        <x:v>18</x:v>
      </x:c>
    </x:row>
    <x:row r="30">
      <x:c r="A30" s="24" t="n">
        <x:v>25</x:v>
      </x:c>
      <x:c r="B30" s="24" t="str">
        <x:v> hp-0024 </x:v>
      </x:c>
      <x:c r="C30" s="24" t="str">
        <x:v>Minimal Wall Clock</x:v>
      </x:c>
      <x:c r="D30" s="24" t="str">
        <x:v>Minimal Wall Clock for modern everyday spaces.</x:v>
      </x:c>
      <x:c r="E30" s="24" t="str">
        <x:v>Lifestyle / Travel</x:v>
      </x:c>
      <x:c r="F30" s="24" t="str">
        <x:v>home,retail</x:v>
      </x:c>
      <x:c r="G30" s="34" t="n">
        <x:v>45.45</x:v>
      </x:c>
      <x:c r="H30" s="34" t="n">
        <x:v>93.3</x:v>
      </x:c>
      <x:c r="I30" s="24" t="str">
        <x:v>Hearthline</x:v>
      </x:c>
      <x:c r="J30" s="24" t="str">
        <x:v>Fieldwork Goods</x:v>
      </x:c>
      <x:c r="K30" s="24" t="str">
        <x:v>SUP-4123</x:v>
      </x:c>
      <x:c r="L30" s="24" t="str">
        <x:v>YES</x:v>
      </x:c>
      <x:c r="M30" s="24" t="n">
        <x:v>40</x:v>
      </x:c>
      <x:c r="N30" s="24" t="n">
        <x:v>9</x:v>
      </x:c>
      <x:c r="O30" s="24" t="n">
        <x:v>19</x:v>
      </x:c>
    </x:row>
    <x:row r="31">
      <x:c r="A31" s="24" t="n">
        <x:v>26</x:v>
      </x:c>
      <x:c r="B31" s="24" t="str">
        <x:v> hp-0025 </x:v>
      </x:c>
      <x:c r="C31" s="24" t="str">
        <x:v>Natural Jute Rug</x:v>
      </x:c>
      <x:c r="D31" s="24" t="str"/>
      <x:c r="E31" s="24" t="str">
        <x:v>Office </x:v>
      </x:c>
      <x:c r="F31" s="24" t="str">
        <x:v>home,retail</x:v>
      </x:c>
      <x:c r="G31" s="34" t="n">
        <x:v>47.1</x:v>
      </x:c>
      <x:c r="H31" s="34" t="n">
        <x:v>96.4</x:v>
      </x:c>
      <x:c r="I31" s="24" t="str">
        <x:v>North &amp; Pine</x:v>
      </x:c>
      <x:c r="J31" s="24" t="str">
        <x:v>Evergreen Wholesale</x:v>
      </x:c>
      <x:c r="K31" s="24" t="str">
        <x:v>SUP-4124</x:v>
      </x:c>
      <x:c r="L31" s="24" t="str">
        <x:v>YES</x:v>
      </x:c>
      <x:c r="M31" s="24" t="n">
        <x:v>47</x:v>
      </x:c>
      <x:c r="N31" s="24" t="n">
        <x:v>10</x:v>
      </x:c>
      <x:c r="O31" s="24" t="n">
        <x:v>12</x:v>
      </x:c>
    </x:row>
    <x:row r="32">
      <x:c r="A32" s="24" t="n">
        <x:v>27</x:v>
      </x:c>
      <x:c r="B32" s="24" t="str">
        <x:v> hp-0026 </x:v>
      </x:c>
      <x:c r="C32" s="24" t="str">
        <x:v>Terrazzo Soap Dish</x:v>
      </x:c>
      <x:c r="D32" s="24" t="str">
        <x:v>Terrazzo Soap Dish for modern everyday spaces.</x:v>
      </x:c>
      <x:c r="E32" s="24" t="str">
        <x:v>Home / Dining</x:v>
      </x:c>
      <x:c r="F32" s="24" t="str">
        <x:v>new,  home ,featured</x:v>
      </x:c>
      <x:c r="G32" s="34" t="n">
        <x:v>48.75</x:v>
      </x:c>
      <x:c r="H32" s="34" t="n">
        <x:v>99.5</x:v>
      </x:c>
      <x:c r="I32" s="24" t="str">
        <x:v>Studio Vale</x:v>
      </x:c>
      <x:c r="J32" s="24" t="str">
        <x:v>Mosaic Supply Co</x:v>
      </x:c>
      <x:c r="K32" s="24" t="str">
        <x:v>SUP-4125</x:v>
      </x:c>
      <x:c r="L32" s="24" t="str">
        <x:v>YES</x:v>
      </x:c>
      <x:c r="M32" s="24" t="n">
        <x:v>11</x:v>
      </x:c>
      <x:c r="N32" s="24" t="n">
        <x:v>6</x:v>
      </x:c>
      <x:c r="O32" s="24" t="n">
        <x:v>13</x:v>
      </x:c>
    </x:row>
    <x:row r="33">
      <x:c r="A33" s="24" t="n">
        <x:v>28</x:v>
      </x:c>
      <x:c r="B33" s="24" t="str">
        <x:v> hp-0027 </x:v>
      </x:c>
      <x:c r="C33" s="24" t="str">
        <x:v>Cotton Apron</x:v>
      </x:c>
      <x:c r="D33" s="24" t="str">
        <x:v>Cotton Apron for modern everyday spaces.</x:v>
      </x:c>
      <x:c r="E33" s="24" t="str">
        <x:v>Home / Decor</x:v>
      </x:c>
      <x:c r="F33" s="24" t="str">
        <x:v>home,retail</x:v>
      </x:c>
      <x:c r="G33" s="34" t="n">
        <x:v>50.4</x:v>
      </x:c>
      <x:c r="H33" s="34" t="n">
        <x:v>102.6</x:v>
      </x:c>
      <x:c r="I33" s="24" t="str">
        <x:v>Common Form</x:v>
      </x:c>
      <x:c r="J33" s="24" t="str">
        <x:v>Fieldwork Goods</x:v>
      </x:c>
      <x:c r="K33" s="24" t="str">
        <x:v>SUP-4126</x:v>
      </x:c>
      <x:c r="L33" s="24" t="str">
        <x:v>inactive</x:v>
      </x:c>
      <x:c r="M33" s="24" t="n">
        <x:v>18</x:v>
      </x:c>
      <x:c r="N33" s="24" t="n">
        <x:v>7</x:v>
      </x:c>
      <x:c r="O33" s="24" t="n">
        <x:v>14</x:v>
      </x:c>
    </x:row>
    <x:row r="34">
      <x:c r="A34" s="24" t="n">
        <x:v>29</x:v>
      </x:c>
      <x:c r="B34" s="24" t="str">
        <x:v> hp-0028 </x:v>
      </x:c>
      <x:c r="C34" s="24" t="str">
        <x:v>Portable Table Lamp</x:v>
      </x:c>
      <x:c r="D34" s="24" t="str">
        <x:v>Portable Table Lamp for modern everyday spaces.</x:v>
      </x:c>
      <x:c r="E34" s="24" t="str">
        <x:v>Home / Bath</x:v>
      </x:c>
      <x:c r="F34" s="24" t="str">
        <x:v>home,retail</x:v>
      </x:c>
      <x:c r="G34" s="34" t="n">
        <x:v>52.05</x:v>
      </x:c>
      <x:c r="H34" s="34" t="n">
        <x:v>8</x:v>
      </x:c>
      <x:c r="I34" s="24" t="str">
        <x:v>Hearthline</x:v>
      </x:c>
      <x:c r="J34" s="24" t="str">
        <x:v>Evergreen Wholesale</x:v>
      </x:c>
      <x:c r="K34" s="24" t="str">
        <x:v>SUP-4127</x:v>
      </x:c>
      <x:c r="L34" s="24" t="str">
        <x:v>YES</x:v>
      </x:c>
      <x:c r="M34" s="24" t="n">
        <x:v>25</x:v>
      </x:c>
      <x:c r="N34" s="24" t="n">
        <x:v>8</x:v>
      </x:c>
      <x:c r="O34" s="24" t="n">
        <x:v>15</x:v>
      </x:c>
    </x:row>
    <x:row r="35">
      <x:c r="A35" s="24" t="n">
        <x:v>30</x:v>
      </x:c>
      <x:c r="B35" s="24" t="str">
        <x:v> hp-0029 </x:v>
      </x:c>
      <x:c r="C35" s="24" t="str">
        <x:v> NOTEBOOK GIFT SET  </x:v>
      </x:c>
      <x:c r="D35" s="24" t="str">
        <x:v>Notebook Gift Set for modern everyday spaces.</x:v>
      </x:c>
      <x:c r="E35" s="24" t="str">
        <x:v>Lifestyle / Travel</x:v>
      </x:c>
      <x:c r="F35" s="24" t="str">
        <x:v>home,retail</x:v>
      </x:c>
      <x:c r="G35" s="34" t="n">
        <x:v>53.7</x:v>
      </x:c>
      <x:c r="H35" s="34" t="n">
        <x:v>108.8</x:v>
      </x:c>
      <x:c r="I35" s="24" t="str">
        <x:v>North &amp; Pine</x:v>
      </x:c>
      <x:c r="J35" s="24" t="str">
        <x:v>Mosaic Supply Co</x:v>
      </x:c>
      <x:c r="K35" s="24" t="str">
        <x:v>SUP-4128</x:v>
      </x:c>
      <x:c r="L35" s="24" t="str">
        <x:v>YES</x:v>
      </x:c>
      <x:c r="M35" s="24" t="n">
        <x:v>32</x:v>
      </x:c>
      <x:c r="N35" s="24" t="n">
        <x:v>9</x:v>
      </x:c>
      <x:c r="O35" s="24" t="n">
        <x:v>16</x:v>
      </x:c>
    </x:row>
    <x:row r="36">
      <x:c r="A36" s="24" t="n">
        <x:v>31</x:v>
      </x:c>
      <x:c r="B36" s="24" t="str">
        <x:v> hp-0030 </x:v>
      </x:c>
      <x:c r="C36" s="24" t="str">
        <x:v>Insulated Water Bottle</x:v>
      </x:c>
      <x:c r="D36" s="24" t="str">
        <x:v>Insulated Water Bottle for modern everyday spaces.</x:v>
      </x:c>
      <x:c r="E36" s="24" t="str">
        <x:v>Office</x:v>
      </x:c>
      <x:c r="F36" s="24" t="str">
        <x:v>home,retail</x:v>
      </x:c>
      <x:c r="G36" s="34" t="n">
        <x:v>55.35</x:v>
      </x:c>
      <x:c r="H36" s="34" t="n">
        <x:v>111.9</x:v>
      </x:c>
      <x:c r="I36" s="24" t="str">
        <x:v>Studio Vale</x:v>
      </x:c>
      <x:c r="J36" s="24" t="str">
        <x:v>Fieldwork Goods</x:v>
      </x:c>
      <x:c r="K36" s="24" t="str">
        <x:v>SUP-4129</x:v>
      </x:c>
      <x:c r="L36" s="24" t="str">
        <x:v>YES</x:v>
      </x:c>
      <x:c r="M36" s="24" t="n">
        <x:v>39</x:v>
      </x:c>
      <x:c r="N36" s="24" t="n">
        <x:v>10</x:v>
      </x:c>
      <x:c r="O36" s="24" t="n">
        <x:v>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4" hidden="0" customWidth="1"/>
    <x:col min="7" max="7" width="46" hidden="0" customWidth="1"/>
    <x:col min="8" max="8" width="14" hidden="0" customWidth="1"/>
  </x:cols>
  <x:sheetData>
    <x:row r="2">
      <x:c r="A2" s="1" t="str">
        <x:v>Cleaning Log</x:v>
      </x:c>
      <x:c r="I2" s="4" t="str">
        <x:v>PORTFOLIO DEMO • SYED AREEB ALI</x:v>
      </x:c>
    </x:row>
    <x:row r="3">
      <x:c r="A3" s="2" t="str">
        <x:v>Every changed row and resolution documented for auditability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64" t="str">
        <x:v>Source Row</x:v>
      </x:c>
      <x:c r="B6" s="64" t="str">
        <x:v>Original SKU</x:v>
      </x:c>
      <x:c r="C6" s="64" t="str">
        <x:v>Clean SKU</x:v>
      </x:c>
      <x:c r="D6" s="64" t="str">
        <x:v>Original Name</x:v>
      </x:c>
      <x:c r="E6" s="64" t="str">
        <x:v>Clean Name</x:v>
      </x:c>
      <x:c r="F6" s="64" t="str">
        <x:v>Issues Found</x:v>
      </x:c>
      <x:c r="G6" s="64" t="str">
        <x:v>Resolution</x:v>
      </x:c>
      <x:c r="H6" s="64" t="str">
        <x:v>QC Status</x:v>
      </x:c>
    </x:row>
    <x:row r="7">
      <x:c r="A7" s="24" t="n">
        <x:v>2</x:v>
      </x:c>
      <x:c r="B7" s="24" t="str">
        <x:v> hp-0001 </x:v>
      </x:c>
      <x:c r="C7" s="24" t="str">
        <x:v>HP0001</x:v>
      </x:c>
      <x:c r="D7" s="24" t="str">
        <x:v> CANVAS MARKET TOTE  </x:v>
      </x:c>
      <x:c r="E7" s="24" t="str">
        <x:v>CANVAS MARKET TOTE</x:v>
      </x:c>
      <x:c r="F7" s="24" t="n">
        <x:v>6</x:v>
      </x:c>
      <x:c r="G7" s="24" t="str">
        <x:v>Removed spaces/symbols from SKU; Replaced invalid supply price; Corrected retail price below cost; Replaced negative inventory with zero; Trimmed and deduplicated tags; Added missing description</x:v>
      </x:c>
      <x:c r="H7" s="27" t="str">
        <x:v>Ready</x:v>
      </x:c>
    </x:row>
    <x:row r="8">
      <x:c r="A8" s="24" t="n">
        <x:v>3</x:v>
      </x:c>
      <x:c r="B8" s="24" t="str">
        <x:v> hp-0002 </x:v>
      </x:c>
      <x:c r="C8" s="24" t="str">
        <x:v>HP0002</x:v>
      </x:c>
      <x:c r="D8" s="24" t="str">
        <x:v>Stoneware Mug</x:v>
      </x:c>
      <x:c r="E8" s="24" t="str">
        <x:v>Stoneware Mug</x:v>
      </x:c>
      <x:c r="F8" s="24" t="n">
        <x:v>1</x:v>
      </x:c>
      <x:c r="G8" s="24" t="str">
        <x:v>Removed spaces/symbols from SKU</x:v>
      </x:c>
      <x:c r="H8" s="27" t="str">
        <x:v>Ready</x:v>
      </x:c>
    </x:row>
    <x:row r="9">
      <x:c r="A9" s="24" t="n">
        <x:v>4</x:v>
      </x:c>
      <x:c r="B9" s="24" t="str">
        <x:v> hp-0003 </x:v>
      </x:c>
      <x:c r="C9" s="24" t="str">
        <x:v>HP0003</x:v>
      </x:c>
      <x:c r="D9" s="24" t="str">
        <x:v>Linen Table Runner</x:v>
      </x:c>
      <x:c r="E9" s="24" t="str">
        <x:v>Linen Table Runner</x:v>
      </x:c>
      <x:c r="F9" s="24" t="n">
        <x:v>1</x:v>
      </x:c>
      <x:c r="G9" s="24" t="str">
        <x:v>Removed spaces/symbols from SKU</x:v>
      </x:c>
      <x:c r="H9" s="27" t="str">
        <x:v>Ready</x:v>
      </x:c>
    </x:row>
    <x:row r="10">
      <x:c r="A10" s="24" t="n">
        <x:v>5</x:v>
      </x:c>
      <x:c r="B10" s="24" t="str">
        <x:v> hp-0004 </x:v>
      </x:c>
      <x:c r="C10" s="24" t="str">
        <x:v>HP0004</x:v>
      </x:c>
      <x:c r="D10" s="24" t="str">
        <x:v>Oak Serving Board</x:v>
      </x:c>
      <x:c r="E10" s="24" t="str">
        <x:v>Oak Serving Board</x:v>
      </x:c>
      <x:c r="F10" s="24" t="n">
        <x:v>1</x:v>
      </x:c>
      <x:c r="G10" s="24" t="str">
        <x:v>Removed spaces/symbols from SKU</x:v>
      </x:c>
      <x:c r="H10" s="27" t="str">
        <x:v>Ready</x:v>
      </x:c>
    </x:row>
    <x:row r="11">
      <x:c r="A11" s="24" t="n">
        <x:v>6</x:v>
      </x:c>
      <x:c r="B11" s="24" t="str">
        <x:v> hp-0005 </x:v>
      </x:c>
      <x:c r="C11" s="24" t="str">
        <x:v>HP0005</x:v>
      </x:c>
      <x:c r="D11" s="24" t="str">
        <x:v>Scented Soy Candle</x:v>
      </x:c>
      <x:c r="E11" s="24" t="str">
        <x:v>Scented Soy Candle</x:v>
      </x:c>
      <x:c r="F11" s="24" t="n">
        <x:v>1</x:v>
      </x:c>
      <x:c r="G11" s="24" t="str">
        <x:v>Removed spaces/symbols from SKU</x:v>
      </x:c>
      <x:c r="H11" s="27" t="str">
        <x:v>Ready</x:v>
      </x:c>
    </x:row>
    <x:row r="12">
      <x:c r="A12" s="24" t="n">
        <x:v>7</x:v>
      </x:c>
      <x:c r="B12" s="24" t="str">
        <x:v> hp-0006 </x:v>
      </x:c>
      <x:c r="C12" s="24" t="str">
        <x:v>HP0006</x:v>
      </x:c>
      <x:c r="D12" s="24" t="str">
        <x:v>Woven Storage Basket</x:v>
      </x:c>
      <x:c r="E12" s="24" t="str">
        <x:v>Woven Storage Basket</x:v>
      </x:c>
      <x:c r="F12" s="24" t="n">
        <x:v>2</x:v>
      </x:c>
      <x:c r="G12" s="24" t="str">
        <x:v>Removed spaces/symbols from SKU; Trimmed and deduplicated tags</x:v>
      </x:c>
      <x:c r="H12" s="27" t="str">
        <x:v>Ready</x:v>
      </x:c>
    </x:row>
    <x:row r="13">
      <x:c r="A13" s="24" t="n">
        <x:v>8</x:v>
      </x:c>
      <x:c r="B13" s="24" t="str">
        <x:v> hp-0007 </x:v>
      </x:c>
      <x:c r="C13" s="24" t="str">
        <x:v>HP0007</x:v>
      </x:c>
      <x:c r="D13" s="24" t="str">
        <x:v>Ceramic Planter</x:v>
      </x:c>
      <x:c r="E13" s="24" t="str">
        <x:v>Ceramic Planter</x:v>
      </x:c>
      <x:c r="F13" s="24" t="n">
        <x:v>2</x:v>
      </x:c>
      <x:c r="G13" s="24" t="str">
        <x:v>Removed spaces/symbols from SKU; Added missing description</x:v>
      </x:c>
      <x:c r="H13" s="27" t="str">
        <x:v>Ready</x:v>
      </x:c>
    </x:row>
    <x:row r="14">
      <x:c r="A14" s="24" t="n">
        <x:v>9</x:v>
      </x:c>
      <x:c r="B14" s="24" t="str">
        <x:v> hp-0008 </x:v>
      </x:c>
      <x:c r="C14" s="24" t="str">
        <x:v>HP0008</x:v>
      </x:c>
      <x:c r="D14" s="24" t="str">
        <x:v> COTTON THROW BLANKET  </x:v>
      </x:c>
      <x:c r="E14" s="24" t="str">
        <x:v>COTTON THROW BLANKET</x:v>
      </x:c>
      <x:c r="F14" s="24" t="n">
        <x:v>1</x:v>
      </x:c>
      <x:c r="G14" s="24" t="str">
        <x:v>Removed spaces/symbols from SKU</x:v>
      </x:c>
      <x:c r="H14" s="27" t="str">
        <x:v>Ready</x:v>
      </x:c>
    </x:row>
    <x:row r="15">
      <x:c r="A15" s="24" t="n">
        <x:v>10</x:v>
      </x:c>
      <x:c r="B15" s="24" t="str">
        <x:v> hp-0009 </x:v>
      </x:c>
      <x:c r="C15" s="24" t="str">
        <x:v>HP0009</x:v>
      </x:c>
      <x:c r="D15" s="24" t="str">
        <x:v>Glass Carafe</x:v>
      </x:c>
      <x:c r="E15" s="24" t="str">
        <x:v>Glass Carafe</x:v>
      </x:c>
      <x:c r="F15" s="24" t="n">
        <x:v>1</x:v>
      </x:c>
      <x:c r="G15" s="24" t="str">
        <x:v>Removed spaces/symbols from SKU</x:v>
      </x:c>
      <x:c r="H15" s="27" t="str">
        <x:v>Ready</x:v>
      </x:c>
    </x:row>
    <x:row r="16">
      <x:c r="A16" s="24" t="n">
        <x:v>11</x:v>
      </x:c>
      <x:c r="B16" s="24" t="str">
        <x:v>HP 1008</x:v>
      </x:c>
      <x:c r="C16" s="24" t="str">
        <x:v>HP1008</x:v>
      </x:c>
      <x:c r="D16" s="24" t="str">
        <x:v>Brass Photo Frame</x:v>
      </x:c>
      <x:c r="E16" s="24" t="str">
        <x:v>Brass Photo Frame</x:v>
      </x:c>
      <x:c r="F16" s="24" t="n">
        <x:v>2</x:v>
      </x:c>
      <x:c r="G16" s="24" t="str">
        <x:v>Removed spaces/symbols from SKU; Corrected retail price below cost</x:v>
      </x:c>
      <x:c r="H16" s="27" t="str">
        <x:v>Ready</x:v>
      </x:c>
    </x:row>
    <x:row r="17">
      <x:c r="A17" s="24" t="n">
        <x:v>12</x:v>
      </x:c>
      <x:c r="B17" s="24" t="str">
        <x:v> hp-0011 </x:v>
      </x:c>
      <x:c r="C17" s="24" t="str">
        <x:v>HP0011</x:v>
      </x:c>
      <x:c r="D17" s="24" t="str">
        <x:v>Bamboo Bath Tray</x:v>
      </x:c>
      <x:c r="E17" s="24" t="str">
        <x:v>Bamboo Bath Tray</x:v>
      </x:c>
      <x:c r="F17" s="24" t="n">
        <x:v>3</x:v>
      </x:c>
      <x:c r="G17" s="24" t="str">
        <x:v>Removed spaces/symbols from SKU; Replaced negative inventory with zero; Trimmed and deduplicated tags</x:v>
      </x:c>
      <x:c r="H17" s="27" t="str">
        <x:v>Ready</x:v>
      </x:c>
    </x:row>
    <x:row r="18">
      <x:c r="A18" s="24" t="n">
        <x:v>13</x:v>
      </x:c>
      <x:c r="B18" s="24" t="str">
        <x:v> hp-0012 </x:v>
      </x:c>
      <x:c r="C18" s="24" t="str">
        <x:v>HP0012</x:v>
      </x:c>
      <x:c r="D18" s="24" t="str">
        <x:v>Wool Cushion Cover</x:v>
      </x:c>
      <x:c r="E18" s="24" t="str">
        <x:v>Wool Cushion Cover</x:v>
      </x:c>
      <x:c r="F18" s="24" t="n">
        <x:v>2</x:v>
      </x:c>
      <x:c r="G18" s="24" t="str">
        <x:v>Removed spaces/symbols from SKU; Replaced invalid supply price</x:v>
      </x:c>
      <x:c r="H18" s="27" t="str">
        <x:v>Ready</x:v>
      </x:c>
    </x:row>
    <x:row r="19">
      <x:c r="A19" s="24" t="n">
        <x:v>14</x:v>
      </x:c>
      <x:c r="B19" s="24" t="str">
        <x:v> hp-0013 </x:v>
      </x:c>
      <x:c r="C19" s="24" t="str">
        <x:v>HP0013</x:v>
      </x:c>
      <x:c r="D19" s="24" t="str">
        <x:v>Marble Coaster Set</x:v>
      </x:c>
      <x:c r="E19" s="24" t="str">
        <x:v>Marble Coaster Set</x:v>
      </x:c>
      <x:c r="F19" s="24" t="n">
        <x:v>2</x:v>
      </x:c>
      <x:c r="G19" s="24" t="str">
        <x:v>Removed spaces/symbols from SKU; Added missing description</x:v>
      </x:c>
      <x:c r="H19" s="27" t="str">
        <x:v>Ready</x:v>
      </x:c>
    </x:row>
    <x:row r="20">
      <x:c r="A20" s="24" t="n">
        <x:v>15</x:v>
      </x:c>
      <x:c r="B20" s="24" t="str">
        <x:v> hp-0014 </x:v>
      </x:c>
      <x:c r="C20" s="24" t="str">
        <x:v>HP0014</x:v>
      </x:c>
      <x:c r="D20" s="24" t="str">
        <x:v>Rattan Tissue Box</x:v>
      </x:c>
      <x:c r="E20" s="24" t="str">
        <x:v>Rattan Tissue Box</x:v>
      </x:c>
      <x:c r="F20" s="24" t="n">
        <x:v>1</x:v>
      </x:c>
      <x:c r="G20" s="24" t="str">
        <x:v>Removed spaces/symbols from SKU</x:v>
      </x:c>
      <x:c r="H20" s="27" t="str">
        <x:v>Ready</x:v>
      </x:c>
    </x:row>
    <x:row r="21">
      <x:c r="A21" s="24" t="n">
        <x:v>16</x:v>
      </x:c>
      <x:c r="B21" s="24" t="str">
        <x:v> hp-0015 </x:v>
      </x:c>
      <x:c r="C21" s="24" t="str">
        <x:v>HP0015</x:v>
      </x:c>
      <x:c r="D21" s="24" t="str">
        <x:v> ENAMEL TEA KETTLE  </x:v>
      </x:c>
      <x:c r="E21" s="24" t="str">
        <x:v>ENAMEL TEA KETTLE</x:v>
      </x:c>
      <x:c r="F21" s="24" t="n">
        <x:v>1</x:v>
      </x:c>
      <x:c r="G21" s="24" t="str">
        <x:v>Removed spaces/symbols from SKU</x:v>
      </x:c>
      <x:c r="H21" s="27" t="str">
        <x:v>Ready</x:v>
      </x:c>
    </x:row>
    <x:row r="22">
      <x:c r="A22" s="24" t="n">
        <x:v>17</x:v>
      </x:c>
      <x:c r="B22" s="24" t="str">
        <x:v> hp-0016 </x:v>
      </x:c>
      <x:c r="C22" s="24" t="str">
        <x:v>HP0016</x:v>
      </x:c>
      <x:c r="D22" s="24" t="str">
        <x:v>Acacia Salad Bowl</x:v>
      </x:c>
      <x:c r="E22" s="24" t="str">
        <x:v>Acacia Salad Bowl</x:v>
      </x:c>
      <x:c r="F22" s="24" t="n">
        <x:v>2</x:v>
      </x:c>
      <x:c r="G22" s="24" t="str">
        <x:v>Removed spaces/symbols from SKU; Trimmed and deduplicated tags</x:v>
      </x:c>
      <x:c r="H22" s="27" t="str">
        <x:v>Ready</x:v>
      </x:c>
    </x:row>
    <x:row r="23">
      <x:c r="A23" s="24" t="n">
        <x:v>18</x:v>
      </x:c>
      <x:c r="B23" s="24" t="str">
        <x:v> hp-0017 </x:v>
      </x:c>
      <x:c r="C23" s="24" t="str">
        <x:v>HP0017</x:v>
      </x:c>
      <x:c r="D23" s="24" t="str">
        <x:v>Velvet Floor Cushion</x:v>
      </x:c>
      <x:c r="E23" s="24" t="str">
        <x:v>Velvet Floor Cushion</x:v>
      </x:c>
      <x:c r="F23" s="24" t="n">
        <x:v>1</x:v>
      </x:c>
      <x:c r="G23" s="24" t="str">
        <x:v>Removed spaces/symbols from SKU</x:v>
      </x:c>
      <x:c r="H23" s="27" t="str">
        <x:v>Ready</x:v>
      </x:c>
    </x:row>
    <x:row r="24">
      <x:c r="A24" s="24" t="n">
        <x:v>19</x:v>
      </x:c>
      <x:c r="B24" s="24" t="str">
        <x:v> hp-0018 </x:v>
      </x:c>
      <x:c r="C24" s="24" t="str">
        <x:v>HP0018</x:v>
      </x:c>
      <x:c r="D24" s="24" t="str">
        <x:v>Recycled Glass Vase</x:v>
      </x:c>
      <x:c r="E24" s="24" t="str">
        <x:v>Recycled Glass Vase</x:v>
      </x:c>
      <x:c r="F24" s="24" t="n">
        <x:v>1</x:v>
      </x:c>
      <x:c r="G24" s="24" t="str">
        <x:v>Removed spaces/symbols from SKU</x:v>
      </x:c>
      <x:c r="H24" s="27" t="str">
        <x:v>Ready</x:v>
      </x:c>
    </x:row>
    <x:row r="25">
      <x:c r="A25" s="24" t="n">
        <x:v>20</x:v>
      </x:c>
      <x:c r="B25" s="24" t="str">
        <x:v>HP1008</x:v>
      </x:c>
      <x:c r="C25" s="24" t="str">
        <x:v>HP10082</x:v>
      </x:c>
      <x:c r="D25" s="24" t="str">
        <x:v>Hand Towel Set</x:v>
      </x:c>
      <x:c r="E25" s="24" t="str">
        <x:v>Hand Towel Set</x:v>
      </x:c>
      <x:c r="F25" s="24" t="n">
        <x:v>3</x:v>
      </x:c>
      <x:c r="G25" s="24" t="str">
        <x:v>Resolved duplicate SKU; Corrected retail price below cost; Added missing description</x:v>
      </x:c>
      <x:c r="H25" s="27" t="str">
        <x:v>Ready</x:v>
      </x:c>
    </x:row>
    <x:row r="26">
      <x:c r="A26" s="24" t="n">
        <x:v>21</x:v>
      </x:c>
      <x:c r="B26" s="24" t="str">
        <x:v> hp-0020 </x:v>
      </x:c>
      <x:c r="C26" s="24" t="str">
        <x:v>HP0020</x:v>
      </x:c>
      <x:c r="D26" s="24" t="str">
        <x:v>Cedar Hanger Pack</x:v>
      </x:c>
      <x:c r="E26" s="24" t="str">
        <x:v>Cedar Hanger Pack</x:v>
      </x:c>
      <x:c r="F26" s="24" t="n">
        <x:v>1</x:v>
      </x:c>
      <x:c r="G26" s="24" t="str">
        <x:v>Removed spaces/symbols from SKU</x:v>
      </x:c>
      <x:c r="H26" s="27" t="str">
        <x:v>Ready</x:v>
      </x:c>
    </x:row>
    <x:row r="27">
      <x:c r="A27" s="24" t="n">
        <x:v>22</x:v>
      </x:c>
      <x:c r="B27" s="24" t="str">
        <x:v> hp-0021 </x:v>
      </x:c>
      <x:c r="C27" s="24" t="str">
        <x:v>HP0021</x:v>
      </x:c>
      <x:c r="D27" s="24" t="str">
        <x:v>Travel Cutlery Set</x:v>
      </x:c>
      <x:c r="E27" s="24" t="str">
        <x:v>Travel Cutlery Set</x:v>
      </x:c>
      <x:c r="F27" s="24" t="n">
        <x:v>3</x:v>
      </x:c>
      <x:c r="G27" s="24" t="str">
        <x:v>Removed spaces/symbols from SKU; Replaced negative inventory with zero; Trimmed and deduplicated tags</x:v>
      </x:c>
      <x:c r="H27" s="27" t="str">
        <x:v>Ready</x:v>
      </x:c>
    </x:row>
    <x:row r="28">
      <x:c r="A28" s="24" t="n">
        <x:v>23</x:v>
      </x:c>
      <x:c r="B28" s="24" t="str">
        <x:v> hp-0022 </x:v>
      </x:c>
      <x:c r="C28" s="24" t="str">
        <x:v>HP0022</x:v>
      </x:c>
      <x:c r="D28" s="24" t="str">
        <x:v> DESK ORGANIZER  </x:v>
      </x:c>
      <x:c r="E28" s="24" t="str">
        <x:v>DESK ORGANIZER</x:v>
      </x:c>
      <x:c r="F28" s="24" t="n">
        <x:v>1</x:v>
      </x:c>
      <x:c r="G28" s="24" t="str">
        <x:v>Removed spaces/symbols from SKU</x:v>
      </x:c>
      <x:c r="H28" s="27" t="str">
        <x:v>Ready</x:v>
      </x:c>
    </x:row>
    <x:row r="29">
      <x:c r="A29" s="24" t="n">
        <x:v>24</x:v>
      </x:c>
      <x:c r="B29" s="24" t="str">
        <x:v> hp-0023 </x:v>
      </x:c>
      <x:c r="C29" s="24" t="str">
        <x:v>HP0023</x:v>
      </x:c>
      <x:c r="D29" s="24" t="str">
        <x:v>Waffle Robe</x:v>
      </x:c>
      <x:c r="E29" s="24" t="str">
        <x:v>Waffle Robe</x:v>
      </x:c>
      <x:c r="F29" s="24" t="n">
        <x:v>2</x:v>
      </x:c>
      <x:c r="G29" s="24" t="str">
        <x:v>Removed spaces/symbols from SKU; Replaced invalid supply price</x:v>
      </x:c>
      <x:c r="H29" s="27" t="str">
        <x:v>Ready</x:v>
      </x:c>
    </x:row>
    <x:row r="30">
      <x:c r="A30" s="24" t="n">
        <x:v>25</x:v>
      </x:c>
      <x:c r="B30" s="24" t="str">
        <x:v> hp-0024 </x:v>
      </x:c>
      <x:c r="C30" s="24" t="str">
        <x:v>HP0024</x:v>
      </x:c>
      <x:c r="D30" s="24" t="str">
        <x:v>Minimal Wall Clock</x:v>
      </x:c>
      <x:c r="E30" s="24" t="str">
        <x:v>Minimal Wall Clock</x:v>
      </x:c>
      <x:c r="F30" s="24" t="n">
        <x:v>1</x:v>
      </x:c>
      <x:c r="G30" s="24" t="str">
        <x:v>Removed spaces/symbols from SKU</x:v>
      </x:c>
      <x:c r="H30" s="27" t="str">
        <x:v>Ready</x:v>
      </x:c>
    </x:row>
    <x:row r="31">
      <x:c r="A31" s="24" t="n">
        <x:v>26</x:v>
      </x:c>
      <x:c r="B31" s="24" t="str">
        <x:v> hp-0025 </x:v>
      </x:c>
      <x:c r="C31" s="24" t="str">
        <x:v>HP0025</x:v>
      </x:c>
      <x:c r="D31" s="24" t="str">
        <x:v>Natural Jute Rug</x:v>
      </x:c>
      <x:c r="E31" s="24" t="str">
        <x:v>Natural Jute Rug</x:v>
      </x:c>
      <x:c r="F31" s="24" t="n">
        <x:v>2</x:v>
      </x:c>
      <x:c r="G31" s="24" t="str">
        <x:v>Removed spaces/symbols from SKU; Added missing description</x:v>
      </x:c>
      <x:c r="H31" s="27" t="str">
        <x:v>Ready</x:v>
      </x:c>
    </x:row>
    <x:row r="32">
      <x:c r="A32" s="24" t="n">
        <x:v>27</x:v>
      </x:c>
      <x:c r="B32" s="24" t="str">
        <x:v> hp-0026 </x:v>
      </x:c>
      <x:c r="C32" s="24" t="str">
        <x:v>HP0026</x:v>
      </x:c>
      <x:c r="D32" s="24" t="str">
        <x:v>Terrazzo Soap Dish</x:v>
      </x:c>
      <x:c r="E32" s="24" t="str">
        <x:v>Terrazzo Soap Dish</x:v>
      </x:c>
      <x:c r="F32" s="24" t="n">
        <x:v>2</x:v>
      </x:c>
      <x:c r="G32" s="24" t="str">
        <x:v>Removed spaces/symbols from SKU; Trimmed and deduplicated tags</x:v>
      </x:c>
      <x:c r="H32" s="27" t="str">
        <x:v>Ready</x:v>
      </x:c>
    </x:row>
    <x:row r="33">
      <x:c r="A33" s="24" t="n">
        <x:v>28</x:v>
      </x:c>
      <x:c r="B33" s="24" t="str">
        <x:v> hp-0027 </x:v>
      </x:c>
      <x:c r="C33" s="24" t="str">
        <x:v>HP0027</x:v>
      </x:c>
      <x:c r="D33" s="24" t="str">
        <x:v>Cotton Apron</x:v>
      </x:c>
      <x:c r="E33" s="24" t="str">
        <x:v>Cotton Apron</x:v>
      </x:c>
      <x:c r="F33" s="24" t="n">
        <x:v>1</x:v>
      </x:c>
      <x:c r="G33" s="24" t="str">
        <x:v>Removed spaces/symbols from SKU</x:v>
      </x:c>
      <x:c r="H33" s="27" t="str">
        <x:v>Ready</x:v>
      </x:c>
    </x:row>
    <x:row r="34">
      <x:c r="A34" s="24" t="n">
        <x:v>29</x:v>
      </x:c>
      <x:c r="B34" s="24" t="str">
        <x:v> hp-0028 </x:v>
      </x:c>
      <x:c r="C34" s="24" t="str">
        <x:v>HP0028</x:v>
      </x:c>
      <x:c r="D34" s="24" t="str">
        <x:v>Portable Table Lamp</x:v>
      </x:c>
      <x:c r="E34" s="24" t="str">
        <x:v>Portable Table Lamp</x:v>
      </x:c>
      <x:c r="F34" s="24" t="n">
        <x:v>2</x:v>
      </x:c>
      <x:c r="G34" s="24" t="str">
        <x:v>Removed spaces/symbols from SKU; Corrected retail price below cost</x:v>
      </x:c>
      <x:c r="H34" s="27" t="str">
        <x:v>Ready</x:v>
      </x:c>
    </x:row>
    <x:row r="35">
      <x:c r="A35" s="24" t="n">
        <x:v>30</x:v>
      </x:c>
      <x:c r="B35" s="24" t="str">
        <x:v> hp-0029 </x:v>
      </x:c>
      <x:c r="C35" s="24" t="str">
        <x:v>HP0029</x:v>
      </x:c>
      <x:c r="D35" s="24" t="str">
        <x:v> NOTEBOOK GIFT SET  </x:v>
      </x:c>
      <x:c r="E35" s="24" t="str">
        <x:v>NOTEBOOK GIFT SET</x:v>
      </x:c>
      <x:c r="F35" s="24" t="n">
        <x:v>1</x:v>
      </x:c>
      <x:c r="G35" s="24" t="str">
        <x:v>Removed spaces/symbols from SKU</x:v>
      </x:c>
      <x:c r="H35" s="27" t="str">
        <x:v>Ready</x:v>
      </x:c>
    </x:row>
    <x:row r="36">
      <x:c r="A36" s="24" t="n">
        <x:v>31</x:v>
      </x:c>
      <x:c r="B36" s="24" t="str">
        <x:v> hp-0030 </x:v>
      </x:c>
      <x:c r="C36" s="24" t="str">
        <x:v>HP0030</x:v>
      </x:c>
      <x:c r="D36" s="24" t="str">
        <x:v>Insulated Water Bottle</x:v>
      </x:c>
      <x:c r="E36" s="24" t="str">
        <x:v>Insulated Water Bottle</x:v>
      </x:c>
      <x:c r="F36" s="24" t="n">
        <x:v>1</x:v>
      </x:c>
      <x:c r="G36" s="24" t="str">
        <x:v>Removed spaces/symbols from SKU</x:v>
      </x:c>
      <x:c r="H36" s="27" t="str">
        <x:v>Ready</x:v>
      </x:c>
    </x:row>
  </x:sheetData>
  <x:conditionalFormatting sqref="F7:F36">
    <x:cfRule type="dataBar" priority="1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f8af1781-e655-43d4-bab0-46119b41eb0e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f8af1781-e655-43d4-bab0-46119b41eb0e">
            <x14:dataBar gradient="1">
              <x14:cfvo type="min"/>
              <x14:cfvo type="max"/>
              <x14:fillColor rgb="FFD6A84B"/>
            </x14:dataBar>
          </x14:cfRule>
          <xm:sqref>F7:F36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6" hidden="0" customWidth="1"/>
    <x:col min="4" max="4" width="38" hidden="0" customWidth="1"/>
  </x:cols>
  <x:sheetData>
    <x:row r="2">
      <x:c r="A2" s="1" t="str">
        <x:v>Field Guide &amp; Handover</x:v>
      </x:c>
      <x:c r="G2" s="4" t="str">
        <x:v>PORTFOLIO DEMO • SYED AREEB ALI</x:v>
      </x:c>
    </x:row>
    <x:row r="3">
      <x:c r="A3" s="2" t="str">
        <x:v>Practical import notes for the buyer or retail operator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Field</x:v>
      </x:c>
      <x:c r="B6" s="10" t="str">
        <x:v>Purpose</x:v>
      </x:c>
      <x:c r="C6" s="10" t="str">
        <x:v>Validation applied</x:v>
      </x:c>
      <x:c r="D6" s="10" t="str">
        <x:v>Live-store check</x:v>
      </x:c>
    </x:row>
    <x:row r="7">
      <x:c r="A7" s="24" t="str">
        <x:v>id</x:v>
      </x:c>
      <x:c r="B7" s="24" t="str">
        <x:v>System-generated product identifier</x:v>
      </x:c>
      <x:c r="C7" s="24" t="str">
        <x:v>Blank for new products</x:v>
      </x:c>
      <x:c r="D7" s="24" t="str">
        <x:v>Keep blank for creation</x:v>
      </x:c>
    </x:row>
    <x:row r="8">
      <x:c r="A8" s="24" t="str">
        <x:v>handle</x:v>
      </x:c>
      <x:c r="B8" s="24" t="str">
        <x:v>Unique product handle</x:v>
      </x:c>
      <x:c r="C8" s="24" t="str">
        <x:v>Lowercase words joined by hyphens</x:v>
      </x:c>
      <x:c r="D8" s="24" t="str">
        <x:v>Variants must share a handle</x:v>
      </x:c>
    </x:row>
    <x:row r="9">
      <x:c r="A9" s="24" t="str">
        <x:v>sku</x:v>
      </x:c>
      <x:c r="B9" s="24" t="str">
        <x:v>Unique sellable identifier</x:v>
      </x:c>
      <x:c r="C9" s="24" t="str">
        <x:v>Letters and numbers only; stored as text</x:v>
      </x:c>
      <x:c r="D9" s="24" t="str">
        <x:v>Check scanners/barcodes</x:v>
      </x:c>
    </x:row>
    <x:row r="10">
      <x:c r="A10" s="24" t="str">
        <x:v>name</x:v>
      </x:c>
      <x:c r="B10" s="24" t="str">
        <x:v>Product name</x:v>
      </x:c>
      <x:c r="C10" s="24" t="str">
        <x:v>Trimmed and standardized</x:v>
      </x:c>
      <x:c r="D10" s="24" t="str">
        <x:v>Must be distinct for standard products</x:v>
      </x:c>
    </x:row>
    <x:row r="11">
      <x:c r="A11" s="24" t="str">
        <x:v>supply_price</x:v>
      </x:c>
      <x:c r="B11" s="24" t="str">
        <x:v>Unit cost</x:v>
      </x:c>
      <x:c r="C11" s="24" t="str">
        <x:v>Positive number; no currency symbols</x:v>
      </x:c>
      <x:c r="D11" s="24" t="str">
        <x:v>Confirm tax basis</x:v>
      </x:c>
    </x:row>
    <x:row r="12">
      <x:c r="A12" s="24" t="str">
        <x:v>retail_price</x:v>
      </x:c>
      <x:c r="B12" s="24" t="str">
        <x:v>Selling price</x:v>
      </x:c>
      <x:c r="C12" s="24" t="str">
        <x:v>Positive number above supply price</x:v>
      </x:c>
      <x:c r="D12" s="24" t="str">
        <x:v>Confirm tax-inclusive/exclusive setting</x:v>
      </x:c>
    </x:row>
    <x:row r="13">
      <x:c r="A13" s="24" t="str">
        <x:v>Outlet_Tax_Main_Store</x:v>
      </x:c>
      <x:c r="B13" s="24" t="str">
        <x:v>Tax rate mapping</x:v>
      </x:c>
      <x:c r="C13" s="24" t="str">
        <x:v>Demo value populated</x:v>
      </x:c>
      <x:c r="D13" s="24" t="str">
        <x:v>Rename header and value to exact outlet/tax names</x:v>
      </x:c>
    </x:row>
    <x:row r="14">
      <x:c r="A14" s="24" t="str">
        <x:v>active</x:v>
      </x:c>
      <x:c r="B14" s="24" t="str">
        <x:v>Available for sale</x:v>
      </x:c>
      <x:c r="C14" s="24" t="str">
        <x:v>0 or 1</x:v>
      </x:c>
      <x:c r="D14" s="24" t="str">
        <x:v>Confirm seasonal items</x:v>
      </x:c>
    </x:row>
    <x:row r="15">
      <x:c r="A15" s="24" t="str">
        <x:v>track_inventory</x:v>
      </x:c>
      <x:c r="B15" s="24" t="str">
        <x:v>Inventory tracking</x:v>
      </x:c>
      <x:c r="C15" s="24" t="str">
        <x:v>0 or 1</x:v>
      </x:c>
      <x:c r="D15" s="24" t="str">
        <x:v>Enable for stocked products</x:v>
      </x:c>
    </x:row>
    <x:row r="16">
      <x:c r="A16" s="24" t="str">
        <x:v>inventory_Main_Store</x:v>
      </x:c>
      <x:c r="B16" s="24" t="str">
        <x:v>Opening stock</x:v>
      </x:c>
      <x:c r="C16" s="24" t="str">
        <x:v>No negative values</x:v>
      </x:c>
      <x:c r="D16" s="24" t="str">
        <x:v>Rename Main_Store to exact outlet name</x:v>
      </x:c>
    </x:row>
    <x:row r="17">
      <x:c r="A17" s="24" t="str">
        <x:v>reorder_point / quantity</x:v>
      </x:c>
      <x:c r="B17" s="24" t="str">
        <x:v>Replenishment guidance</x:v>
      </x:c>
      <x:c r="C17" s="24" t="str">
        <x:v>Numeric values</x:v>
      </x:c>
      <x:c r="D17" s="24" t="str">
        <x:v>Do not mix with min/max method</x:v>
      </x:c>
    </x:row>
    <x:row r="18">
      <x:c r="A18" s="24" t="str">
        <x:v>CSV export</x:v>
      </x:c>
      <x:c r="B18" s="24" t="str">
        <x:v>Upload-ready file</x:v>
      </x:c>
      <x:c r="C18" s="24" t="str">
        <x:v>UTF-8 CSV included</x:v>
      </x:c>
      <x:c r="D18" s="24" t="str">
        <x:v>Test a small batch before full import</x:v>
      </x:c>
    </x:row>
    <x:row r="21" ht="30" customHeight="1">
      <x:c r="A21" s="22" t="str">
        <x:v>Handover steps</x:v>
      </x:c>
      <x:c r="B21" s="22" t="str"/>
      <x:c r="C21" s="22" t="str"/>
      <x:c r="D21" s="22" t="str"/>
    </x:row>
    <x:row r="22">
      <x:c r="A22" s="24" t="str">
        <x:v>1</x:v>
      </x:c>
      <x:c r="B22" s="24" t="str">
        <x:v>Replace demo outlet and tax labels with exact live-store names</x:v>
      </x:c>
      <x:c r="C22" s="24" t="str"/>
      <x:c r="D22" s="24" t="str"/>
    </x:row>
    <x:row r="23">
      <x:c r="A23" s="24" t="str">
        <x:v>2</x:v>
      </x:c>
      <x:c r="B23" s="24" t="str">
        <x:v>Confirm prices, taxes and opening inventory with the retailer</x:v>
      </x:c>
      <x:c r="C23" s="24" t="str"/>
      <x:c r="D23" s="24" t="str"/>
    </x:row>
    <x:row r="24">
      <x:c r="A24" s="24" t="str">
        <x:v>3</x:v>
      </x:c>
      <x:c r="B24" s="24" t="str">
        <x:v>Import a small test batch and inspect ignored products</x:v>
      </x:c>
      <x:c r="C24" s="24" t="str"/>
      <x:c r="D24" s="24" t="str"/>
    </x:row>
    <x:row r="25">
      <x:c r="A25" s="24" t="str">
        <x:v>4</x:v>
      </x:c>
      <x:c r="B25" s="24" t="str">
        <x:v>Upload the final CSV and archive the cleaning log</x:v>
      </x:c>
      <x:c r="C25" s="24" t="str"/>
      <x:c r="D25" s="24" t="str"/>
    </x:row>
  </x:sheetData>
  <x:pageMargins left="0.7" right="0.7" top="0.75" bottom="0.75" header="0.3" footer="0.3"/>
</x:worksheet>
</file>